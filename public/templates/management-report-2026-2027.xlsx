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drawings/charts/chart5.xml" ContentType="application/vnd.openxmlformats-officedocument.drawingml.chart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drawings/charts/chart6.xml" ContentType="application/vnd.openxmlformats-officedocument.drawingml.chart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drawings/charts/chart7.xml" ContentType="application/vnd.openxmlformats-officedocument.drawingml.chart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drawings/charts/chart8.xml" ContentType="application/vnd.openxmlformats-officedocument.drawingml.chart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drawings/charts/chart9.xml" ContentType="application/vnd.openxmlformats-officedocument.drawingml.chart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drawings/charts/chart10.xml" ContentType="application/vnd.openxmlformats-officedocument.drawingml.chart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drawings/charts/chart11.xml" ContentType="application/vnd.openxmlformats-officedocument.drawingml.chart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drawings/charts/chart12.xml" ContentType="application/vnd.openxmlformats-officedocument.drawingml.chart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drawings/charts/chart13.xml" ContentType="application/vnd.openxmlformats-officedocument.drawingml.chart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drawings/charts/chart14.xml" ContentType="application/vnd.openxmlformats-officedocument.drawingml.chart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drawings/charts/chart15.xml" ContentType="application/vnd.openxmlformats-officedocument.drawingml.chart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drawings/charts/chart16.xml" ContentType="application/vnd.openxmlformats-officedocument.drawingml.chart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drawings/charts/chart17.xml" ContentType="application/vnd.openxmlformats-officedocument.drawingml.chart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drawings/charts/chart18.xml" ContentType="application/vnd.openxmlformats-officedocument.drawingml.chart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drawings/charts/chart19.xml" ContentType="application/vnd.openxmlformats-officedocument.drawingml.chart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drawings/charts/chart20.xml" ContentType="application/vnd.openxmlformats-officedocument.drawingml.chart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drawings/charts/chart21.xml" ContentType="application/vnd.openxmlformats-officedocument.drawingml.chart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drawings/charts/chart22.xml" ContentType="application/vnd.openxmlformats-officedocument.drawingml.chart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drawings/charts/chart23.xml" ContentType="application/vnd.openxmlformats-officedocument.drawingml.chart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drawings/charts/chart24.xml" ContentType="application/vnd.openxmlformats-officedocument.drawingml.chart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drawings/charts/chart25.xml" ContentType="application/vnd.openxmlformats-officedocument.drawingml.chart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drawings/charts/chart26.xml" ContentType="application/vnd.openxmlformats-officedocument.drawingml.chart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drawings/charts/chart27.xml" ContentType="application/vnd.openxmlformats-officedocument.drawingml.chart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drawings/charts/chart28.xml" ContentType="application/vnd.openxmlformats-officedocument.drawingml.chart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drawings/charts/chart29.xml" ContentType="application/vnd.openxmlformats-officedocument.drawingml.chart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drawings/charts/chart30.xml" ContentType="application/vnd.openxmlformats-officedocument.drawingml.chart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drawings/charts/chart31.xml" ContentType="application/vnd.openxmlformats-officedocument.drawingml.chart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drawings/charts/chart32.xml" ContentType="application/vnd.openxmlformats-officedocument.drawingml.chart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drawings/charts/chart33.xml" ContentType="application/vnd.openxmlformats-officedocument.drawingml.chart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drawings/charts/chart34.xml" ContentType="application/vnd.openxmlformats-officedocument.drawingml.chart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drawings/charts/chart35.xml" ContentType="application/vnd.openxmlformats-officedocument.drawingml.chart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drawings/charts/chart36.xml" ContentType="application/vnd.openxmlformats-officedocument.drawingml.chart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drawings/charts/chart37.xml" ContentType="application/vnd.openxmlformats-officedocument.drawingml.chart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drawings/charts/chart38.xml" ContentType="application/vnd.openxmlformats-officedocument.drawingml.chart+xml"/>
  <Override PartName="/xl/worksheets/sheet39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2a6191203c4b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58" r:id="Rafe8d6faa0af40eb"/>
    <x:sheet xmlns:r="http://schemas.openxmlformats.org/officeDocument/2006/relationships" name="2026-2027 YEAR TO DATE" sheetId="9" r:id="R17192ca6f3d04ed9"/>
    <x:sheet xmlns:r="http://schemas.openxmlformats.org/officeDocument/2006/relationships" name="SHOP MARCH 2026" sheetId="5" r:id="Rc7964a5ddeba4182"/>
    <x:sheet xmlns:r="http://schemas.openxmlformats.org/officeDocument/2006/relationships" name="THIRD PARTY MARCH 2026" sheetId="6" r:id="Ra9428340d66b4484"/>
    <x:sheet xmlns:r="http://schemas.openxmlformats.org/officeDocument/2006/relationships" name="CLEANSTEP MARCH 2026" sheetId="8" r:id="R73234242c12d45f4"/>
    <x:sheet xmlns:r="http://schemas.openxmlformats.org/officeDocument/2006/relationships" name="SHOP APRIL 2026 (2)" sheetId="22" r:id="R04433d0c62e0498f"/>
    <x:sheet xmlns:r="http://schemas.openxmlformats.org/officeDocument/2006/relationships" name="THIRD PARTY APRIL 2026 (2)" sheetId="23" r:id="R33242b0f40cb42d7"/>
    <x:sheet xmlns:r="http://schemas.openxmlformats.org/officeDocument/2006/relationships" name="CLEANSTEP APRIL 2026 (2)" sheetId="24" r:id="R6d5978b6bfb141d5"/>
    <x:sheet xmlns:r="http://schemas.openxmlformats.org/officeDocument/2006/relationships" name="SHOP MAY 2026 (3)" sheetId="26" r:id="Re60ea73d52a14d2d"/>
    <x:sheet xmlns:r="http://schemas.openxmlformats.org/officeDocument/2006/relationships" name="THIRD PARTY MAY 2026 (3)" sheetId="27" r:id="R334e717df607489b"/>
    <x:sheet xmlns:r="http://schemas.openxmlformats.org/officeDocument/2006/relationships" name="CLEANSTEP MAY 2026 (3)" sheetId="28" r:id="R434c7c4314c44747"/>
    <x:sheet xmlns:r="http://schemas.openxmlformats.org/officeDocument/2006/relationships" name="SHOP JUNE 2026 (4)" sheetId="30" r:id="R5fea789b1664478e"/>
    <x:sheet xmlns:r="http://schemas.openxmlformats.org/officeDocument/2006/relationships" name="THIRD PARTY JUNE 2026 (4)" sheetId="31" r:id="Rc68ec3655b1b4624"/>
    <x:sheet xmlns:r="http://schemas.openxmlformats.org/officeDocument/2006/relationships" name="CLEANSTEP JUNE 2026 (4)" sheetId="32" r:id="Rf56d9c5ca4104a98"/>
    <x:sheet xmlns:r="http://schemas.openxmlformats.org/officeDocument/2006/relationships" name="SHOP JULY 2026 (5)" sheetId="33" r:id="Re0e31c62155045d6"/>
    <x:sheet xmlns:r="http://schemas.openxmlformats.org/officeDocument/2006/relationships" name="THIRD PARTY JULY 2026 (5)" sheetId="34" r:id="R18105560685e46f0"/>
    <x:sheet xmlns:r="http://schemas.openxmlformats.org/officeDocument/2006/relationships" name="CLEANSTEP JULY 2026 (5)" sheetId="35" r:id="R0172872336d94460"/>
    <x:sheet xmlns:r="http://schemas.openxmlformats.org/officeDocument/2006/relationships" name="SHOP AUGUST 2026 (6)" sheetId="36" r:id="R47b6494492f74ee3"/>
    <x:sheet xmlns:r="http://schemas.openxmlformats.org/officeDocument/2006/relationships" name="THIRD PARTY AUGUST 2026 (6)" sheetId="37" r:id="R6600b5a7d93549f0"/>
    <x:sheet xmlns:r="http://schemas.openxmlformats.org/officeDocument/2006/relationships" name="CLEANSTEP AUGUST 2026 (6)" sheetId="38" r:id="R01f6a982ad1e41c9"/>
    <x:sheet xmlns:r="http://schemas.openxmlformats.org/officeDocument/2006/relationships" name="SHOP SEPTEMBER 2026 (7)" sheetId="39" r:id="R03253abaf3ea4477"/>
    <x:sheet xmlns:r="http://schemas.openxmlformats.org/officeDocument/2006/relationships" name="THIRD PARTY SEPTEMBER 2026 (7)" sheetId="40" r:id="R3ae13fe5e6f547b5"/>
    <x:sheet xmlns:r="http://schemas.openxmlformats.org/officeDocument/2006/relationships" name="CLEANSTEP SEPTEMBER 2026 (7)" sheetId="41" r:id="Ra8b5bd0b66214fe9"/>
    <x:sheet xmlns:r="http://schemas.openxmlformats.org/officeDocument/2006/relationships" name="SHOP OCTOBER 2026 (8)" sheetId="42" r:id="R8b558df649be48c0"/>
    <x:sheet xmlns:r="http://schemas.openxmlformats.org/officeDocument/2006/relationships" name="THIRD PARTY OCTOBER 2026 (8)" sheetId="43" r:id="Ra5ca1e7940344ab2"/>
    <x:sheet xmlns:r="http://schemas.openxmlformats.org/officeDocument/2006/relationships" name="CLEANSTEP OCTOBER 2026 (8)" sheetId="44" r:id="Rcb940bb7b8934b4f"/>
    <x:sheet xmlns:r="http://schemas.openxmlformats.org/officeDocument/2006/relationships" name="SHOP NOVEMBER 2026 (9)" sheetId="45" r:id="Re8da7167b99a4a2a"/>
    <x:sheet xmlns:r="http://schemas.openxmlformats.org/officeDocument/2006/relationships" name="THIRD PARTY NOVEMBER 2026 (9)" sheetId="46" r:id="R3559f081c6fe403c"/>
    <x:sheet xmlns:r="http://schemas.openxmlformats.org/officeDocument/2006/relationships" name="CLEANSTEP NOVEMBER 2026 (9)" sheetId="47" r:id="R7ee43e705e974c43"/>
    <x:sheet xmlns:r="http://schemas.openxmlformats.org/officeDocument/2006/relationships" name="SHOP DECEMBER 2026 (10)" sheetId="48" r:id="R28f161e0accb4429"/>
    <x:sheet xmlns:r="http://schemas.openxmlformats.org/officeDocument/2006/relationships" name="THIRD PARTY DECEMBER 2026 (10)" sheetId="49" r:id="R3a361a23ce044ee5"/>
    <x:sheet xmlns:r="http://schemas.openxmlformats.org/officeDocument/2006/relationships" name="CLEANSTEP DECEMBER 2026 (10)" sheetId="50" r:id="R6f1855ba22614f6f"/>
    <x:sheet xmlns:r="http://schemas.openxmlformats.org/officeDocument/2006/relationships" name="SHOP JANUARY 2027 (11)" sheetId="51" r:id="Rcf75f0e98fa44ab1"/>
    <x:sheet xmlns:r="http://schemas.openxmlformats.org/officeDocument/2006/relationships" name="THIRD PARTY JANUARY 2027 (11)" sheetId="52" r:id="Reeec80c4c5e046d0"/>
    <x:sheet xmlns:r="http://schemas.openxmlformats.org/officeDocument/2006/relationships" name="CLEANSTEP JANUARY 2027 (11)" sheetId="53" r:id="R73e85ae770794a87"/>
    <x:sheet xmlns:r="http://schemas.openxmlformats.org/officeDocument/2006/relationships" name="SHOP FEBRUARY 2027 (12)" sheetId="54" r:id="R6b8fe7691aee4cdd"/>
    <x:sheet xmlns:r="http://schemas.openxmlformats.org/officeDocument/2006/relationships" name="THIRD PARTY FEBRUARY 2027 (12)" sheetId="55" r:id="Rb63e02c926d544f5"/>
    <x:sheet xmlns:r="http://schemas.openxmlformats.org/officeDocument/2006/relationships" name="CLEANSTEP FEBRUARY 2027 (12)" sheetId="56" r:id="Rab97368d1bef42c9"/>
    <x:sheet xmlns:r="http://schemas.openxmlformats.org/officeDocument/2006/relationships" name="RETAIL &amp; PRINT" sheetId="57" r:id="R28875709648d4cce"/>
  </x:sheets>
</x:workbook>
</file>

<file path=xl/comments1.xml><?xml version="1.0" encoding="utf-8"?>
<x:comments xmlns:x="http://schemas.openxmlformats.org/spreadsheetml/2006/main">
  <x:authors>
    <x:author>Lennox Mukhawana</x:author>
    <x:author>27796601181</x:author>
  </x:authors>
  <x:commentList>
    <x:comment ref="E21" authorId="0">
      <x:text>
        <x:r>
          <x:t>Lennox Mukhawana:IBIS</x:t>
        </x:r>
      </x:text>
    </x:comment>
    <x:comment ref="G27" authorId="1">
      <x:text>
        <x:r>
          <x:t>Water &amp; coke</x:t>
        </x:r>
      </x:text>
    </x:comment>
    <x:comment ref="E36" authorId="0">
      <x:text>
        <x:r>
          <x:t>Lennox Mukhawana:
TUMISHO LUKELO OFFICE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<x:sst xmlns:x="http://schemas.openxmlformats.org/spreadsheetml/2006/main">
  <x:si>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MONTHLY SALES</x:t>
  </x:si>
  <x:si>
    <x:t xml:space="preserve">MARCH</x:t>
  </x:si>
  <x:si>
    <x:t xml:space="preserve">APRIL</x:t>
  </x:si>
  <x:si>
    <x:t xml:space="preserve">MAY</x:t>
  </x:si>
  <x:si>
    <x:t xml:space="preserve">JUNE</x:t>
  </x:si>
  <x:si>
    <x:t xml:space="preserve">JULY</x:t>
  </x:si>
  <x:si>
    <x:t xml:space="preserve">AUGUST</x:t>
  </x:si>
  <x:si>
    <x:t xml:space="preserve">SEPTEMBER</x:t>
  </x:si>
  <x:si>
    <x:t xml:space="preserve">OCTOBER</x:t>
  </x:si>
  <x:si>
    <x:t xml:space="preserve">NOVEMBER</x:t>
  </x:si>
  <x:si>
    <x:t xml:space="preserve">DECEMBER</x:t>
  </x:si>
  <x:si>
    <x:t xml:space="preserve">JANUARY</x:t>
  </x:si>
  <x:si>
    <x:t xml:space="preserve">FEBRUARY</x:t>
  </x:si>
  <x:si>
    <x:t xml:space="preserve">MONTHLY TURNOVER PER DEPARTMENT</x:t>
  </x:si>
  <x:si>
    <x:t xml:space="preserve">DEPARTMENT</x:t>
  </x:si>
  <x:si>
    <x:t xml:space="preserve">TOTAL</x:t>
  </x:si>
  <x:si>
    <x:t xml:space="preserve">FOOTWEAR</x:t>
  </x:si>
  <x:si>
    <x:t xml:space="preserve">DEEP CLEANING</x:t>
  </x:si>
  <x:si>
    <x:t xml:space="preserve">PRINT SERVICES</x:t>
  </x:si>
  <x:si>
    <x:t xml:space="preserve">RETAIL</x:t>
  </x:si>
  <x:si>
    <x:t xml:space="preserve">THIRD PARTY</x:t>
  </x:si>
  <x:si>
    <x:t xml:space="preserve">Date</x:t>
  </x:si>
  <x:si>
    <x:t xml:space="preserve">Total Sales</x:t>
  </x:si>
  <x:si>
    <x:t xml:space="preserve">Footwear</x:t>
  </x:si>
  <x:si>
    <x:t xml:space="preserve">Deep Cleaning</x:t>
  </x:si>
  <x:si>
    <x:t xml:space="preserve">Print &amp; Retail</x:t>
  </x:si>
  <x:si>
    <x:t xml:space="preserve">SALES</x:t>
  </x:si>
  <x:si>
    <x:t xml:space="preserve">Carpets </x:t>
  </x:si>
  <x:si>
    <x:t xml:space="preserve">Upholstery</x:t>
  </x:si>
  <x:si>
    <x:t xml:space="preserve">Print</x:t>
  </x:si>
  <x:si>
    <x:t xml:space="preserve">Retail</x:t>
  </x:si>
  <x:si>
    <x:t xml:space="preserve">Kitwe</x:t>
  </x:si>
  <x:si>
    <x:t xml:space="preserve">Eldo</x:t>
  </x:si>
  <x:si>
    <x:t xml:space="preserve">Clubview</x:t>
  </x:si>
  <x:si>
    <x:t xml:space="preserve">MONTHLY TURNOVER OVERVIEW</x:t>
  </x:si>
  <x:si>
    <x:t xml:space="preserve"> TURNOVER</x:t>
  </x:si>
  <x:si>
    <x:t xml:space="preserve">SHOP</x:t>
  </x:si>
  <x:si>
    <x:t xml:space="preserve">THIRD PARTY </x:t>
  </x:si>
  <x:si>
    <x:t xml:space="preserve">Love Laundry</x:t>
  </x:si>
  <x:si>
    <x:t xml:space="preserve">Water Glen</x:t>
  </x:si>
  <x:si>
    <x:t xml:space="preserve">Park View</x:t>
  </x:si>
  <x:si>
    <x:t xml:space="preserve">J</x:t>
  </x:si>
</x:sst>
</file>

<file path=xl/styles.xml><?xml version="1.0" encoding="utf-8"?>
<x:styleSheet xmlns:x="http://schemas.openxmlformats.org/spreadsheetml/2006/main">
  <x:numFmts count="7">
    <x:numFmt numFmtId="43" formatCode="_(* #,##0.00_);_(* \(#,##0.00\);_(* &quot;-&quot;??_);_(@_)"/>
    <x:numFmt numFmtId="164" formatCode="_-&quot;R&quot;* #,##0.00_-;\-&quot;R&quot;* #,##0.00_-;_-&quot;R&quot;* &quot;-&quot;??_-;_-@_-"/>
    <x:numFmt numFmtId="165" formatCode="&quot;R&quot;#,##0.00"/>
    <x:numFmt numFmtId="166" formatCode="_-[$R-1C09]* #,##0.00_-;\-[$R-1C09]* #,##0.00_-;_-[$R-1C09]* &quot;-&quot;??_-;_-@_-"/>
    <x:numFmt numFmtId="167" formatCode="[$-409]d\-mmm\-yy;@"/>
    <x:numFmt numFmtId="168" formatCode="[$R-1C09]#,##0.00"/>
    <x:numFmt numFmtId="200" formatCode="d-mmm"/>
  </x:numFmts>
  <x:fonts count="32">
    <x:font>
      <x:sz val="11"/>
      <x:color theme="1"/>
      <x:name val="Calibri"/>
    </x:font>
    <x:font>
      <x:sz val="11"/>
      <x:color theme="1"/>
      <x:name val="Calibri"/>
    </x:font>
    <x:font>
      <x:sz val="11"/>
      <x:color theme="1"/>
      <x:name val="Century Gothic"/>
    </x:font>
    <x:font>
      <x:b/>
      <x:sz val="14"/>
      <x:color theme="1"/>
      <x:name val="Century Gothic"/>
    </x:font>
    <x:font>
      <x:b/>
      <x:sz val="11"/>
      <x:color theme="1"/>
      <x:name val="Century Gothic"/>
    </x:font>
    <x:font>
      <x:sz val="11"/>
      <x:color rgb="FFFF0000"/>
      <x:name val="Calibri"/>
    </x:font>
    <x:font>
      <x:sz val="11"/>
      <x:color rgb="FFFF0000"/>
      <x:name val="Century Gothic"/>
    </x:font>
    <x:font>
      <x:sz val="11"/>
      <x:color rgb="FF00B0F0"/>
      <x:name val="Century Gothic"/>
    </x:font>
    <x:font>
      <x:sz val="11"/>
      <x:color rgb="FF00B0F0"/>
      <x:name val="Calibri"/>
    </x:font>
    <x:font>
      <x:b/>
      <x:sz val="9"/>
      <x:color indexed="81"/>
      <x:name val="Tahoma"/>
    </x:font>
    <x:font>
      <x:b/>
      <x:sz val="11"/>
      <x:color theme="1"/>
      <x:name val="Calibri"/>
    </x:font>
    <x:font>
      <x:b/>
      <x:sz val="12"/>
      <x:color theme="1"/>
      <x:name val="Century Gothic"/>
    </x:font>
    <x:font>
      <x:sz val="12"/>
      <x:color rgb="FF0070C0"/>
      <x:name val="Century Gothic"/>
    </x:font>
    <x:font>
      <x:sz val="12"/>
      <x:color rgb="FFFF0000"/>
      <x:name val="Century Gothic"/>
    </x:font>
    <x:font>
      <x:b/>
      <x:sz val="12"/>
      <x:color theme="1"/>
      <x:name val="Calibri"/>
    </x:font>
    <x:font>
      <x:b/>
      <x:sz val="11"/>
      <x:color indexed="8"/>
      <x:name val="Century Gothic"/>
    </x:font>
    <x:font>
      <x:sz val="8"/>
      <x:name val="Calibri"/>
    </x:font>
    <x:font>
      <x:sz val="12"/>
      <x:name val="Century Gothic"/>
    </x:font>
    <x:font>
      <x:i/>
      <x:sz val="11"/>
      <x:color theme="1"/>
      <x:name val="Century Gothic"/>
    </x:font>
    <x:font>
      <x:b/>
      <x:sz val="14"/>
      <x:color theme="1"/>
      <x:name val="Arial"/>
    </x:font>
    <x:font>
      <x:b/>
      <x:sz val="11"/>
      <x:color theme="0"/>
      <x:name val="Calibri"/>
    </x:font>
    <x:font>
      <x:sz val="11"/>
      <x:color theme="0"/>
      <x:name val="Calibri"/>
    </x:font>
    <x:font>
      <x:sz val="9"/>
      <x:color indexed="81"/>
      <x:name val="Tahoma"/>
    </x:font>
    <x:font>
      <x:sz val="9"/>
      <x:color indexed="81"/>
      <x:name val="Tahoma"/>
    </x:font>
    <x:font>
      <x:b/>
      <x:sz val="9"/>
      <x:color indexed="81"/>
      <x:name val="Tahoma"/>
    </x:font>
    <x:font>
      <x:b/>
      <x:sz val="16"/>
      <x:color theme="1"/>
      <x:name val="Calibri"/>
    </x:font>
    <x:font>
      <x:i/>
      <x:sz val="11"/>
      <x:color theme="1"/>
      <x:name val="Calibri"/>
    </x:font>
    <x:font>
      <x:b/>
      <x:sz val="11"/>
      <x:name val="Calibri"/>
    </x:font>
    <x:font>
      <x:sz val="11"/>
      <x:color rgb="FF00B050"/>
      <x:name val="Calibri"/>
    </x:font>
    <x:font>
      <x:sz val="11"/>
      <x:color rgb="FF0000FF"/>
      <x:name val="Calibri"/>
    </x:font>
    <x:font>
      <x:b/>
      <x:sz val="14"/>
      <x:color theme="1"/>
      <x:name val="Calibri"/>
    </x:font>
    <x:font>
      <x:sz val="14"/>
      <x:color theme="1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theme="0" tint="-0.04999"/>
      </x:patternFill>
    </x:fill>
    <x:fill>
      <x:patternFill patternType="solid">
        <x:fgColor theme="0"/>
      </x:patternFill>
    </x:fill>
    <x:fill>
      <x:patternFill patternType="solid">
        <x:fgColor rgb="FF00B050"/>
      </x:patternFill>
    </x:fill>
    <x:fill>
      <x:patternFill patternType="solid">
        <x:fgColor rgb="FFFFFFAF"/>
      </x:patternFill>
    </x:fill>
    <x:fill>
      <x:patternFill patternType="solid">
        <x:fgColor rgb="FFFF5353"/>
      </x:patternFill>
    </x:fill>
  </x:fills>
  <x:borders count="30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theme="4"/>
      </x:top>
      <x:bottom style="double">
        <x:color theme="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left style="medium">
        <x:color indexed="64"/>
      </x:left>
      <x:top style="thin">
        <x:color indexed="64"/>
      </x:top>
      <x:bottom style="medium">
        <x:color indexed="64"/>
      </x:bottom>
    </x:border>
    <x:border>
      <x:left style="medium">
        <x:color indexed="64"/>
      </x:left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</x:border>
    <x:border>
      <x:bottom style="thin">
        <x:color indexed="64"/>
      </x:bottom>
    </x:border>
    <x:border>
      <x:left style="thin">
        <x:color indexed="64"/>
      </x:left>
      <x:right style="thin">
        <x:color indexed="64"/>
      </x:right>
    </x:border>
    <x:border>
      <x:top style="thin">
        <x:color indexed="64"/>
      </x:top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</x:borders>
  <x:cellStyleXfs count="4">
    <x:xf numFmtId="0" fontId="0" fillId="0" borderId="0"/>
    <x:xf numFmtId="9" fontId="1" fillId="0" borderId="0" applyFont="0" applyFill="0" applyBorder="0" applyAlignment="0" applyProtection="0"/>
    <x:xf numFmtId="164" fontId="1" fillId="0" borderId="0" applyFont="0" applyFill="0" applyBorder="0" applyAlignment="0" applyProtection="0"/>
    <x:xf numFmtId="0" fontId="10" fillId="0" borderId="5" applyNumberFormat="0" applyFill="0" applyAlignment="0" applyProtection="0"/>
  </x:cellStyleXfs>
  <x:cellXfs count="172">
    <x:xf numFmtId="0" fontId="0" fillId="0" borderId="0" xfId="0"/>
    <x:xf numFmtId="0" fontId="2" fillId="0" borderId="0" xfId="0" applyFont="1"/>
    <x:xf numFmtId="0" fontId="4" fillId="0" borderId="0" xfId="0" applyFont="1"/>
    <x:xf numFmtId="0" fontId="2" fillId="0" borderId="1" xfId="0" applyFont="1" applyBorder="1"/>
    <x:xf numFmtId="9" fontId="2" fillId="0" borderId="1" xfId="1" applyFont="1" applyBorder="1"/>
    <x:xf numFmtId="0" fontId="4" fillId="0" borderId="1" xfId="0" applyFont="1" applyBorder="1"/>
    <x:xf numFmtId="49" fontId="0" fillId="0" borderId="0" xfId="0" applyNumberFormat="1" applyAlignment="1">
      <x:alignment horizontal="center"/>
    </x:xf>
    <x:xf numFmtId="49" fontId="4" fillId="0" borderId="1" xfId="0" applyNumberFormat="1" applyFont="1" applyBorder="1" applyAlignment="1">
      <x:alignment horizontal="left"/>
    </x:xf>
    <x:xf numFmtId="0" fontId="5" fillId="0" borderId="0" xfId="0" applyFont="1"/>
    <x:xf numFmtId="0" fontId="8" fillId="0" borderId="0" xfId="0" applyFont="1"/>
    <x:xf numFmtId="165" fontId="2" fillId="0" borderId="1" xfId="2" applyNumberFormat="1" applyFont="1" applyBorder="1"/>
    <x:xf numFmtId="49" fontId="2" fillId="0" borderId="0" xfId="0" applyNumberFormat="1" applyFont="1" applyAlignment="1">
      <x:alignment horizontal="center"/>
    </x:xf>
    <x:xf numFmtId="0" fontId="6" fillId="0" borderId="0" xfId="0" applyFont="1"/>
    <x:xf numFmtId="0" fontId="7" fillId="0" borderId="0" xfId="0" applyFont="1"/>
    <x:xf numFmtId="14" fontId="0" fillId="0" borderId="0" xfId="0" applyNumberFormat="1"/>
    <x:xf numFmtId="14" fontId="4" fillId="0" borderId="1" xfId="0" applyNumberFormat="1" applyFont="1" applyBorder="1" applyAlignment="1">
      <x:alignment horizontal="left"/>
    </x:xf>
    <x:xf numFmtId="49" fontId="3" fillId="0" borderId="0" xfId="0" applyNumberFormat="1" applyFont="1"/>
    <x:xf numFmtId="0" fontId="4" fillId="0" borderId="1" xfId="0" applyFont="1" applyBorder="1" applyAlignment="1">
      <x:alignment horizontal="center"/>
    </x:xf>
    <x:xf numFmtId="0" fontId="3" fillId="0" borderId="0" xfId="0" applyFont="1" applyAlignment="1">
      <x:alignment horizontal="center"/>
    </x:xf>
    <x:xf numFmtId="0" fontId="6" fillId="0" borderId="0" xfId="0" applyFont="1" applyAlignment="1">
      <x:alignment horizontal="center"/>
    </x:xf>
    <x:xf numFmtId="0" fontId="5" fillId="0" borderId="0" xfId="0" applyFont="1" applyAlignment="1">
      <x:alignment horizontal="center"/>
    </x:xf>
    <x:xf numFmtId="14" fontId="4" fillId="2" borderId="1" xfId="0" applyNumberFormat="1" applyFont="1" applyFill="1" applyBorder="1" applyAlignment="1">
      <x:alignment horizontal="left"/>
    </x:xf>
    <x:xf numFmtId="49" fontId="4" fillId="2" borderId="1" xfId="0" applyNumberFormat="1" applyFont="1" applyFill="1" applyBorder="1" applyAlignment="1">
      <x:alignment horizontal="left"/>
    </x:xf>
    <x:xf numFmtId="0" fontId="4" fillId="2" borderId="1" xfId="0" applyFont="1" applyFill="1" applyBorder="1"/>
    <x:xf numFmtId="49" fontId="3" fillId="0" borderId="0" xfId="0" applyNumberFormat="1" applyFont="1" applyAlignment="1">
      <x:alignment horizontal="left"/>
    </x:xf>
    <x:xf numFmtId="165" fontId="7" fillId="0" borderId="0" xfId="0" applyNumberFormat="1" applyFont="1"/>
    <x:xf numFmtId="0" fontId="2" fillId="2" borderId="1" xfId="0" applyFont="1" applyFill="1" applyBorder="1" applyAlignment="1">
      <x:alignment horizontal="center"/>
    </x:xf>
    <x:xf numFmtId="165" fontId="2" fillId="0" borderId="0" xfId="0" applyNumberFormat="1" applyFont="1"/>
    <x:xf numFmtId="9" fontId="2" fillId="0" borderId="0" xfId="0" applyNumberFormat="1" applyFont="1"/>
    <x:xf numFmtId="1" fontId="2" fillId="0" borderId="0" xfId="1" applyNumberFormat="1" applyFont="1" applyBorder="1"/>
    <x:xf numFmtId="9" fontId="2" fillId="0" borderId="0" xfId="1" applyFont="1" applyBorder="1"/>
    <x:xf numFmtId="0" fontId="2" fillId="0" borderId="0" xfId="1" applyNumberFormat="1" applyFont="1" applyBorder="1"/>
    <x:xf numFmtId="1" fontId="2" fillId="0" borderId="0" xfId="0" applyNumberFormat="1" applyFont="1"/>
    <x:xf numFmtId="0" fontId="4" fillId="3" borderId="0" xfId="0" applyFont="1" applyFill="1" applyAlignment="1">
      <x:alignment horizontal="center"/>
    </x:xf>
    <x:xf numFmtId="0" fontId="2" fillId="3" borderId="0" xfId="0" applyFont="1" applyFill="1"/>
    <x:xf numFmtId="1" fontId="2" fillId="3" borderId="0" xfId="1" applyNumberFormat="1" applyFont="1" applyFill="1" applyBorder="1"/>
    <x:xf numFmtId="9" fontId="2" fillId="3" borderId="0" xfId="1" applyFont="1" applyFill="1" applyBorder="1"/>
    <x:xf numFmtId="0" fontId="2" fillId="3" borderId="0" xfId="1" applyNumberFormat="1" applyFont="1" applyFill="1" applyBorder="1"/>
    <x:xf numFmtId="165" fontId="2" fillId="0" borderId="0" xfId="2" applyNumberFormat="1" applyFont="1" applyBorder="1"/>
    <x:xf numFmtId="0" fontId="0" fillId="0" borderId="1" xfId="0" applyBorder="1"/>
    <x:xf numFmtId="165" fontId="0" fillId="0" borderId="1" xfId="0" applyNumberFormat="1" applyBorder="1"/>
    <x:xf numFmtId="9" fontId="0" fillId="0" borderId="1" xfId="1" applyFont="1" applyBorder="1"/>
    <x:xf numFmtId="165" fontId="11" fillId="0" borderId="9" xfId="2" applyNumberFormat="1" applyFont="1" applyBorder="1"/>
    <x:xf numFmtId="165" fontId="11" fillId="0" borderId="14" xfId="2" applyNumberFormat="1" applyFont="1" applyBorder="1"/>
    <x:xf numFmtId="49" fontId="13" fillId="3" borderId="15" xfId="0" applyNumberFormat="1" applyFont="1" applyFill="1" applyBorder="1"/>
    <x:xf numFmtId="0" fontId="12" fillId="0" borderId="17" xfId="0" applyFont="1" applyBorder="1"/>
    <x:xf numFmtId="0" fontId="0" fillId="0" borderId="18" xfId="0" applyBorder="1"/>
    <x:xf numFmtId="9" fontId="0" fillId="0" borderId="7" xfId="1" applyFont="1" applyBorder="1"/>
    <x:xf numFmtId="9" fontId="0" fillId="0" borderId="10" xfId="0" applyNumberFormat="1" applyBorder="1"/>
    <x:xf numFmtId="164" fontId="0" fillId="0" borderId="1" xfId="2" applyFont="1" applyBorder="1"/>
    <x:xf numFmtId="164" fontId="10" fillId="0" borderId="1" xfId="0" applyNumberFormat="1" applyFont="1" applyBorder="1"/>
    <x:xf numFmtId="14" fontId="0" fillId="3" borderId="1" xfId="0" applyNumberFormat="1" applyFill="1" applyBorder="1"/>
    <x:xf numFmtId="165" fontId="2" fillId="3" borderId="1" xfId="2" applyNumberFormat="1" applyFont="1" applyFill="1" applyBorder="1" applyAlignment="1">
      <x:alignment horizontal="right"/>
    </x:xf>
    <x:xf numFmtId="165" fontId="2" fillId="3" borderId="1" xfId="2" applyNumberFormat="1" applyFont="1" applyFill="1" applyBorder="1"/>
    <x:xf numFmtId="165" fontId="2" fillId="3" borderId="1" xfId="2" applyNumberFormat="1" applyFont="1" applyFill="1" applyBorder="1" applyAlignment="1">
      <x:alignment horizontal="center"/>
    </x:xf>
    <x:xf numFmtId="165" fontId="6" fillId="3" borderId="1" xfId="2" applyNumberFormat="1" applyFont="1" applyFill="1" applyBorder="1"/>
    <x:xf numFmtId="165" fontId="6" fillId="3" borderId="1" xfId="2" applyNumberFormat="1" applyFont="1" applyFill="1" applyBorder="1" applyAlignment="1">
      <x:alignment horizontal="center"/>
    </x:xf>
    <x:xf numFmtId="165" fontId="10" fillId="3" borderId="1" xfId="3" applyNumberFormat="1" applyFill="1" applyBorder="1" applyAlignment="1">
      <x:alignment horizontal="right"/>
    </x:xf>
    <x:xf numFmtId="165" fontId="10" fillId="3" borderId="1" xfId="3" applyNumberFormat="1" applyFill="1" applyBorder="1"/>
    <x:xf numFmtId="165" fontId="10" fillId="3" borderId="1" xfId="3" applyNumberFormat="1" applyFill="1" applyBorder="1" applyAlignment="1">
      <x:alignment horizontal="center"/>
    </x:xf>
    <x:xf numFmtId="0" fontId="0" fillId="3" borderId="0" xfId="0" applyFill="1"/>
    <x:xf numFmtId="166" fontId="0" fillId="0" borderId="1" xfId="0" applyNumberFormat="1" applyBorder="1"/>
    <x:xf numFmtId="0" fontId="10" fillId="0" borderId="1" xfId="0" applyFont="1" applyBorder="1"/>
    <x:xf numFmtId="0" fontId="15" fillId="3" borderId="0" xfId="0" applyFont="1" applyFill="1" applyAlignment="1">
      <x:alignment horizontal="right"/>
    </x:xf>
    <x:xf numFmtId="166" fontId="1" fillId="0" borderId="1" xfId="0" applyNumberFormat="1" applyFont="1" applyBorder="1"/>
    <x:xf numFmtId="166" fontId="10" fillId="0" borderId="1" xfId="0" applyNumberFormat="1" applyFont="1" applyBorder="1"/>
    <x:xf numFmtId="165" fontId="4" fillId="3" borderId="1" xfId="2" applyNumberFormat="1" applyFont="1" applyFill="1" applyBorder="1" applyAlignment="1">
      <x:alignment horizontal="right"/>
    </x:xf>
    <x:xf numFmtId="165" fontId="4" fillId="3" borderId="1" xfId="0" applyNumberFormat="1" applyFont="1" applyFill="1" applyBorder="1"/>
    <x:xf numFmtId="167" fontId="0" fillId="3" borderId="1" xfId="0" applyNumberFormat="1" applyFill="1" applyBorder="1"/>
    <x:xf numFmtId="0" fontId="6" fillId="2" borderId="1" xfId="0" applyFont="1" applyFill="1" applyBorder="1" applyAlignment="1">
      <x:alignment horizontal="center"/>
    </x:xf>
    <x:xf numFmtId="0" fontId="6" fillId="0" borderId="1" xfId="0" applyFont="1" applyBorder="1" applyAlignment="1">
      <x:alignment horizontal="center"/>
    </x:xf>
    <x:xf numFmtId="49" fontId="17" fillId="3" borderId="16" xfId="0" applyNumberFormat="1" applyFont="1" applyFill="1" applyBorder="1"/>
    <x:xf numFmtId="165" fontId="17" fillId="0" borderId="6" xfId="2" applyNumberFormat="1" applyFont="1" applyBorder="1" applyAlignment="1">
      <x:alignment horizontal="right"/>
    </x:xf>
    <x:xf numFmtId="0" fontId="17" fillId="0" borderId="16" xfId="0" applyFont="1" applyBorder="1"/>
    <x:xf numFmtId="165" fontId="17" fillId="0" borderId="8" xfId="2" applyNumberFormat="1" applyFont="1" applyBorder="1"/>
    <x:xf numFmtId="165" fontId="18" fillId="3" borderId="1" xfId="2" applyNumberFormat="1" applyFont="1" applyFill="1" applyBorder="1" applyAlignment="1">
      <x:alignment horizontal="right"/>
    </x:xf>
    <x:xf numFmtId="165" fontId="2" fillId="3" borderId="20" xfId="2" applyNumberFormat="1" applyFont="1" applyFill="1" applyBorder="1"/>
    <x:xf numFmtId="0" fontId="21" fillId="0" borderId="0" xfId="0" applyFont="1"/>
    <x:xf numFmtId="0" fontId="20" fillId="0" borderId="0" xfId="0" applyFont="1"/>
    <x:xf numFmtId="168" fontId="0" fillId="0" borderId="0" xfId="0" applyNumberFormat="1"/>
    <x:xf numFmtId="168" fontId="10" fillId="0" borderId="0" xfId="0" applyNumberFormat="1" applyFont="1"/>
    <x:xf numFmtId="168" fontId="0" fillId="0" borderId="23" xfId="0" applyNumberFormat="1" applyBorder="1"/>
    <x:xf numFmtId="0" fontId="0" fillId="6" borderId="24" xfId="0" applyFill="1" applyBorder="1"/>
    <x:xf numFmtId="168" fontId="0" fillId="0" borderId="25" xfId="0" applyNumberFormat="1" applyBorder="1"/>
    <x:xf numFmtId="0" fontId="0" fillId="0" borderId="26" xfId="0" applyBorder="1"/>
    <x:xf numFmtId="0" fontId="0" fillId="5" borderId="26" xfId="0" applyFill="1" applyBorder="1"/>
    <x:xf numFmtId="0" fontId="0" fillId="6" borderId="26" xfId="0" applyFill="1" applyBorder="1"/>
    <x:xf numFmtId="168" fontId="0" fillId="0" borderId="27" xfId="0" applyNumberFormat="1" applyBorder="1"/>
    <x:xf numFmtId="0" fontId="0" fillId="0" borderId="28" xfId="0" applyBorder="1"/>
    <x:xf numFmtId="0" fontId="0" fillId="0" borderId="24" xfId="0" applyBorder="1"/>
    <x:xf numFmtId="0" fontId="0" fillId="5" borderId="28" xfId="0" applyFill="1" applyBorder="1"/>
    <x:xf numFmtId="0" fontId="0" fillId="0" borderId="21" xfId="0" applyBorder="1"/>
    <x:xf numFmtId="0" fontId="0" fillId="0" borderId="2" xfId="0" applyBorder="1" applyAlignment="1">
      <x:alignment horizontal="center" vertical="center"/>
    </x:xf>
    <x:xf numFmtId="168" fontId="0" fillId="0" borderId="21" xfId="0" applyNumberFormat="1" applyBorder="1"/>
    <x:xf numFmtId="168" fontId="0" fillId="0" borderId="19" xfId="0" applyNumberFormat="1" applyBorder="1"/>
    <x:xf numFmtId="0" fontId="0" fillId="5" borderId="24" xfId="0" applyFill="1" applyBorder="1"/>
    <x:xf numFmtId="0" fontId="0" fillId="6" borderId="28" xfId="0" applyFill="1" applyBorder="1"/>
    <x:xf numFmtId="167" fontId="0" fillId="0" borderId="1" xfId="0" applyNumberFormat="1" applyBorder="1"/>
    <x:xf numFmtId="165" fontId="2" fillId="0" borderId="1" xfId="2" applyNumberFormat="1" applyFont="1" applyFill="1" applyBorder="1" applyAlignment="1">
      <x:alignment horizontal="right"/>
    </x:xf>
    <x:xf numFmtId="165" fontId="2" fillId="0" borderId="1" xfId="2" applyNumberFormat="1" applyFont="1" applyFill="1" applyBorder="1"/>
    <x:xf numFmtId="165" fontId="2" fillId="0" borderId="1" xfId="2" applyNumberFormat="1" applyFont="1" applyFill="1" applyBorder="1" applyAlignment="1">
      <x:alignment horizontal="center"/>
    </x:xf>
    <x:xf numFmtId="165" fontId="2" fillId="0" borderId="20" xfId="2" applyNumberFormat="1" applyFont="1" applyFill="1" applyBorder="1"/>
    <x:xf numFmtId="0" fontId="0" fillId="0" borderId="0" xfId="0" applyAlignment="1">
      <x:alignment horizontal="center"/>
    </x:xf>
    <x:xf numFmtId="165" fontId="6" fillId="0" borderId="1" xfId="2" applyNumberFormat="1" applyFont="1" applyFill="1" applyBorder="1" applyAlignment="1">
      <x:alignment horizontal="center"/>
    </x:xf>
    <x:xf numFmtId="166" fontId="0" fillId="0" borderId="0" xfId="0" applyNumberFormat="1"/>
    <x:xf numFmtId="0" fontId="4" fillId="2" borderId="1" xfId="0" applyFont="1" applyFill="1" applyBorder="1" applyAlignment="1">
      <x:alignment horizontal="center" wrapText="1"/>
    </x:xf>
    <x:xf numFmtId="0" fontId="4" fillId="2" borderId="1" xfId="0" applyFont="1" applyFill="1" applyBorder="1" applyAlignment="1">
      <x:alignment horizontal="center"/>
    </x:xf>
    <x:xf numFmtId="165" fontId="4" fillId="3" borderId="2" xfId="2" applyNumberFormat="1" applyFont="1" applyFill="1" applyBorder="1" applyAlignment="1">
      <x:alignment horizontal="center"/>
    </x:xf>
    <x:xf numFmtId="165" fontId="4" fillId="3" borderId="4" xfId="2" applyNumberFormat="1" applyFont="1" applyFill="1" applyBorder="1" applyAlignment="1">
      <x:alignment horizontal="center"/>
    </x:xf>
    <x:xf numFmtId="0" fontId="0" fillId="0" borderId="0" xfId="0" applyAlignment="1">
      <x:alignment horizontal="left"/>
    </x:xf>
    <x:xf numFmtId="0" fontId="0" fillId="5" borderId="0" xfId="0" applyFill="1"/>
    <x:xf numFmtId="0" fontId="0" fillId="6" borderId="0" xfId="0" applyFill="1"/>
    <x:xf numFmtId="168" fontId="0" fillId="0" borderId="23" xfId="0" applyNumberFormat="1" applyBorder="1" applyAlignment="1">
      <x:alignment horizontal="center" vertical="center"/>
    </x:xf>
    <x:xf numFmtId="0" fontId="0" fillId="5" borderId="19" xfId="0" applyFill="1" applyBorder="1"/>
    <x:xf numFmtId="168" fontId="0" fillId="0" borderId="1" xfId="0" applyNumberFormat="1" applyBorder="1" applyAlignment="1">
      <x:alignment horizontal="center" vertical="center"/>
    </x:xf>
    <x:xf numFmtId="0" fontId="0" fillId="5" borderId="29" xfId="0" applyFill="1" applyBorder="1"/>
    <x:xf numFmtId="0" fontId="0" fillId="6" borderId="20" xfId="0" applyFill="1" applyBorder="1"/>
    <x:xf numFmtId="0" fontId="0" fillId="0" borderId="20" xfId="0" applyBorder="1"/>
    <x:xf numFmtId="0" fontId="0" fillId="5" borderId="20" xfId="0" applyFill="1" applyBorder="1"/>
    <x:xf numFmtId="0" fontId="0" fillId="0" borderId="22" xfId="0" applyBorder="1"/>
    <x:xf numFmtId="165" fontId="2" fillId="3" borderId="0" xfId="2" applyNumberFormat="1" applyFont="1" applyFill="1" applyBorder="1"/>
    <x:xf numFmtId="165" fontId="18" fillId="3" borderId="0" xfId="2" applyNumberFormat="1" applyFont="1" applyFill="1" applyBorder="1" applyAlignment="1">
      <x:alignment horizontal="right"/>
    </x:xf>
    <x:xf numFmtId="165" fontId="4" fillId="3" borderId="0" xfId="2" applyNumberFormat="1" applyFont="1" applyFill="1" applyBorder="1" applyAlignment="1">
      <x:alignment horizontal="center"/>
    </x:xf>
    <x:xf numFmtId="0" fontId="4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4" fillId="0" borderId="0" xfId="0" applyFont="1" applyAlignment="1">
      <x:alignment horizontal="center"/>
    </x:xf>
    <x:xf numFmtId="43" fontId="0" fillId="0" borderId="0" xfId="0" applyNumberFormat="1"/>
    <x:xf numFmtId="43" fontId="5" fillId="0" borderId="1" xfId="0" applyNumberFormat="1" applyFont="1" applyBorder="1"/>
    <x:xf numFmtId="43" fontId="28" fillId="0" borderId="1" xfId="0" applyNumberFormat="1" applyFont="1" applyBorder="1"/>
    <x:xf numFmtId="43" fontId="29" fillId="0" borderId="1" xfId="0" applyNumberFormat="1" applyFont="1" applyBorder="1"/>
    <x:xf numFmtId="165" fontId="6" fillId="0" borderId="0" xfId="0" applyNumberFormat="1" applyFont="1"/>
    <x:xf numFmtId="164" fontId="1" fillId="0" borderId="1" xfId="2" applyFont="1" applyBorder="1"/>
    <x:xf numFmtId="9" fontId="21" fillId="0" borderId="0" xfId="1" applyFont="1"/>
    <x:xf numFmtId="9" fontId="0" fillId="0" borderId="0" xfId="1" applyFont="1" applyBorder="1"/>
    <x:xf numFmtId="9" fontId="10" fillId="0" borderId="0" xfId="1" applyFont="1" applyBorder="1"/>
    <x:xf numFmtId="0" fontId="4" fillId="2" borderId="1" xfId="0" applyFont="1" applyFill="1" applyBorder="1" applyAlignment="1">
      <x:alignment horizontal="center"/>
    </x:xf>
    <x:xf numFmtId="0" fontId="14" fillId="0" borderId="19" xfId="0" applyFont="1" applyBorder="1" applyAlignment="1">
      <x:alignment horizontal="left" vertical="center"/>
    </x:xf>
    <x:xf numFmtId="0" fontId="14" fillId="4" borderId="19" xfId="0" applyFont="1" applyFill="1" applyBorder="1" applyAlignment="1">
      <x:alignment horizontal="left" vertical="center"/>
    </x:xf>
    <x:xf numFmtId="0" fontId="14" fillId="0" borderId="1" xfId="0" applyFont="1" applyBorder="1" applyAlignment="1">
      <x:alignment horizontal="left" vertical="center"/>
    </x:xf>
    <x:xf numFmtId="0" fontId="4" fillId="2" borderId="2" xfId="0" applyFont="1" applyFill="1" applyBorder="1" applyAlignment="1">
      <x:alignment horizontal="center"/>
    </x:xf>
    <x:xf numFmtId="0" fontId="4" fillId="2" borderId="3" xfId="0" applyFont="1" applyFill="1" applyBorder="1" applyAlignment="1">
      <x:alignment horizontal="center"/>
    </x:xf>
    <x:xf numFmtId="0" fontId="4" fillId="2" borderId="4" xfId="0" applyFont="1" applyFill="1" applyBorder="1" applyAlignment="1">
      <x:alignment horizontal="center"/>
    </x:xf>
    <x:xf numFmtId="165" fontId="4" fillId="3" borderId="2" xfId="2" applyNumberFormat="1" applyFont="1" applyFill="1" applyBorder="1" applyAlignment="1">
      <x:alignment horizontal="center"/>
    </x:xf>
    <x:xf numFmtId="165" fontId="4" fillId="3" borderId="4" xfId="2" applyNumberFormat="1" applyFont="1" applyFill="1" applyBorder="1" applyAlignment="1">
      <x:alignment horizontal="center"/>
    </x:xf>
    <x:xf numFmtId="49" fontId="11" fillId="2" borderId="11" xfId="0" applyNumberFormat="1" applyFont="1" applyFill="1" applyBorder="1" applyAlignment="1">
      <x:alignment horizontal="center" vertical="center"/>
    </x:xf>
    <x:xf numFmtId="49" fontId="11" fillId="2" borderId="13" xfId="0" applyNumberFormat="1" applyFont="1" applyFill="1" applyBorder="1" applyAlignment="1">
      <x:alignment horizontal="center" vertical="center"/>
    </x:xf>
    <x:xf numFmtId="49" fontId="11" fillId="2" borderId="12" xfId="0" applyNumberFormat="1" applyFont="1" applyFill="1" applyBorder="1" applyAlignment="1">
      <x:alignment horizontal="center" vertical="center"/>
    </x:xf>
    <x:xf numFmtId="0" fontId="30" fillId="0" borderId="0" xfId="0" applyFont="1" applyAlignment="1">
      <x:alignment horizontal="center"/>
    </x:xf>
    <x:xf numFmtId="14" fontId="10" fillId="0" borderId="0" xfId="0" applyNumberFormat="1" applyFont="1" applyAlignment="1">
      <x:alignment horizontal="center"/>
    </x:xf>
    <x:xf numFmtId="0" fontId="10" fillId="0" borderId="0" xfId="0" applyFont="1" applyAlignment="1">
      <x:alignment horizontal="center"/>
    </x:xf>
    <x:xf numFmtId="0" fontId="0" fillId="0" borderId="0" xfId="0" applyAlignment="1">
      <x:alignment horizontal="center"/>
    </x:xf>
    <x:xf numFmtId="0" fontId="31" fillId="0" borderId="0" xfId="0" applyFont="1" applyAlignment="1">
      <x:alignment horizontal="center"/>
    </x:xf>
    <x:xf numFmtId="0" fontId="25" fillId="0" borderId="0" xfId="0" applyFont="1" applyAlignment="1">
      <x:alignment horizontal="center"/>
    </x:xf>
    <x:xf numFmtId="0" fontId="26" fillId="0" borderId="0" xfId="0" applyFont="1" applyAlignment="1">
      <x:alignment horizontal="center"/>
    </x:xf>
    <x:xf numFmtId="0" fontId="0" fillId="0" borderId="2" xfId="0" applyBorder="1" applyAlignment="1">
      <x:alignment horizontal="center"/>
    </x:xf>
    <x:xf numFmtId="0" fontId="0" fillId="0" borderId="4" xfId="0" applyBorder="1" applyAlignment="1">
      <x:alignment horizontal="center"/>
    </x:xf>
    <x:xf numFmtId="0" fontId="0" fillId="0" borderId="3" xfId="0" applyBorder="1" applyAlignment="1">
      <x:alignment horizontal="center"/>
    </x:xf>
    <x:xf numFmtId="0" fontId="0" fillId="0" borderId="29" xfId="0" applyBorder="1" applyAlignment="1">
      <x:alignment horizontal="center" vertical="center"/>
    </x:xf>
    <x:xf numFmtId="0" fontId="0" fillId="0" borderId="20" xfId="0" applyBorder="1" applyAlignment="1">
      <x:alignment horizontal="center" vertical="center"/>
    </x:xf>
    <x:xf numFmtId="0" fontId="0" fillId="0" borderId="22" xfId="0" applyBorder="1" applyAlignment="1">
      <x:alignment horizontal="center" vertical="center"/>
    </x:xf>
    <x:xf numFmtId="168" fontId="27" fillId="0" borderId="29" xfId="0" applyNumberFormat="1" applyFont="1" applyBorder="1" applyAlignment="1">
      <x:alignment horizontal="center"/>
    </x:xf>
    <x:xf numFmtId="0" fontId="0" fillId="0" borderId="29" xfId="0" applyBorder="1" applyAlignment="1">
      <x:alignment horizontal="center" vertical="center" wrapText="1"/>
    </x:xf>
    <x:xf numFmtId="0" fontId="0" fillId="0" borderId="20" xfId="0" applyBorder="1" applyAlignment="1">
      <x:alignment horizontal="center" vertical="center" wrapText="1"/>
    </x:xf>
    <x:xf numFmtId="0" fontId="0" fillId="0" borderId="22" xfId="0" applyBorder="1" applyAlignment="1">
      <x:alignment horizontal="center" vertical="center" wrapText="1"/>
    </x:xf>
    <x:xf numFmtId="168" fontId="10" fillId="0" borderId="21" xfId="0" applyNumberFormat="1" applyFont="1" applyBorder="1" applyAlignment="1">
      <x:alignment horizontal="center"/>
    </x:xf>
    <x:xf numFmtId="168" fontId="27" fillId="0" borderId="2" xfId="0" applyNumberFormat="1" applyFont="1" applyBorder="1" applyAlignment="1">
      <x:alignment horizontal="center"/>
    </x:xf>
    <x:xf numFmtId="168" fontId="27" fillId="0" borderId="4" xfId="0" applyNumberFormat="1" applyFont="1" applyBorder="1" applyAlignment="1">
      <x:alignment horizontal="center"/>
    </x:xf>
    <x:xf numFmtId="168" fontId="27" fillId="0" borderId="23" xfId="0" applyNumberFormat="1" applyFont="1" applyBorder="1" applyAlignment="1">
      <x:alignment horizontal="center"/>
    </x:xf>
    <x:xf numFmtId="168" fontId="27" fillId="0" borderId="24" xfId="0" applyNumberFormat="1" applyFont="1" applyBorder="1" applyAlignment="1">
      <x:alignment horizontal="center"/>
    </x:xf>
    <x:xf numFmtId="168" fontId="27" fillId="0" borderId="1" xfId="0" applyNumberFormat="1" applyFont="1" applyBorder="1" applyAlignment="1">
      <x:alignment horizontal="center"/>
    </x:xf>
    <x:xf numFmtId="200" fontId="0" fillId="0" borderId="1" xfId="0" applyNumberFormat="1" applyFont="1" applyFill="1" applyBorder="1"/>
    <x:xf numFmtId="200" fontId="0" fillId="3" borderId="1" xfId="0" applyNumberFormat="1" applyFont="1" applyFill="1" applyBorder="1"/>
  </x:cellXfs>
  <x:cellStyles count="4">
    <x:cellStyle name="Currency" xfId="2"/>
    <x:cellStyle name="Normal" xfId="0"/>
    <x:cellStyle name="Percent" xfId="1"/>
    <x:cellStyle name="Total" xfId="3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1cd4ae8a6e47bd" /><Relationship Type="http://schemas.openxmlformats.org/officeDocument/2006/relationships/theme" Target="/xl/theme/theme1.xml" Id="Rb23d54fadd1643d4" /><Relationship Type="http://schemas.openxmlformats.org/officeDocument/2006/relationships/sharedStrings" Target="/xl/sharedStrings.xml" Id="Rcb7b89e43c6e402a" /><Relationship Type="http://schemas.openxmlformats.org/officeDocument/2006/relationships/worksheet" Target="/xl/worksheets/sheet1.xml" Id="Rafe8d6faa0af40eb" /><Relationship Type="http://schemas.openxmlformats.org/officeDocument/2006/relationships/worksheet" Target="/xl/worksheets/sheet2.xml" Id="R17192ca6f3d04ed9" /><Relationship Type="http://schemas.openxmlformats.org/officeDocument/2006/relationships/worksheet" Target="/xl/worksheets/sheet3.xml" Id="Rc7964a5ddeba4182" /><Relationship Type="http://schemas.openxmlformats.org/officeDocument/2006/relationships/worksheet" Target="/xl/worksheets/sheet4.xml" Id="Ra9428340d66b4484" /><Relationship Type="http://schemas.openxmlformats.org/officeDocument/2006/relationships/worksheet" Target="/xl/worksheets/sheet5.xml" Id="R73234242c12d45f4" /><Relationship Type="http://schemas.openxmlformats.org/officeDocument/2006/relationships/worksheet" Target="/xl/worksheets/sheet6.xml" Id="R04433d0c62e0498f" /><Relationship Type="http://schemas.openxmlformats.org/officeDocument/2006/relationships/worksheet" Target="/xl/worksheets/sheet7.xml" Id="R33242b0f40cb42d7" /><Relationship Type="http://schemas.openxmlformats.org/officeDocument/2006/relationships/worksheet" Target="/xl/worksheets/sheet8.xml" Id="R6d5978b6bfb141d5" /><Relationship Type="http://schemas.openxmlformats.org/officeDocument/2006/relationships/worksheet" Target="/xl/worksheets/sheet9.xml" Id="Re60ea73d52a14d2d" /><Relationship Type="http://schemas.openxmlformats.org/officeDocument/2006/relationships/worksheet" Target="/xl/worksheets/sheet10.xml" Id="R334e717df607489b" /><Relationship Type="http://schemas.openxmlformats.org/officeDocument/2006/relationships/worksheet" Target="/xl/worksheets/sheet11.xml" Id="R434c7c4314c44747" /><Relationship Type="http://schemas.openxmlformats.org/officeDocument/2006/relationships/worksheet" Target="/xl/worksheets/sheet12.xml" Id="R5fea789b1664478e" /><Relationship Type="http://schemas.openxmlformats.org/officeDocument/2006/relationships/worksheet" Target="/xl/worksheets/sheet13.xml" Id="Rc68ec3655b1b4624" /><Relationship Type="http://schemas.openxmlformats.org/officeDocument/2006/relationships/worksheet" Target="/xl/worksheets/sheet14.xml" Id="Rf56d9c5ca4104a98" /><Relationship Type="http://schemas.openxmlformats.org/officeDocument/2006/relationships/worksheet" Target="/xl/worksheets/sheet15.xml" Id="Re0e31c62155045d6" /><Relationship Type="http://schemas.openxmlformats.org/officeDocument/2006/relationships/worksheet" Target="/xl/worksheets/sheet16.xml" Id="R18105560685e46f0" /><Relationship Type="http://schemas.openxmlformats.org/officeDocument/2006/relationships/worksheet" Target="/xl/worksheets/sheet17.xml" Id="R0172872336d94460" /><Relationship Type="http://schemas.openxmlformats.org/officeDocument/2006/relationships/worksheet" Target="/xl/worksheets/sheet18.xml" Id="R47b6494492f74ee3" /><Relationship Type="http://schemas.openxmlformats.org/officeDocument/2006/relationships/worksheet" Target="/xl/worksheets/sheet19.xml" Id="R6600b5a7d93549f0" /><Relationship Type="http://schemas.openxmlformats.org/officeDocument/2006/relationships/worksheet" Target="/xl/worksheets/sheet20.xml" Id="R01f6a982ad1e41c9" /><Relationship Type="http://schemas.openxmlformats.org/officeDocument/2006/relationships/worksheet" Target="/xl/worksheets/sheet21.xml" Id="R03253abaf3ea4477" /><Relationship Type="http://schemas.openxmlformats.org/officeDocument/2006/relationships/worksheet" Target="/xl/worksheets/sheet22.xml" Id="R3ae13fe5e6f547b5" /><Relationship Type="http://schemas.openxmlformats.org/officeDocument/2006/relationships/worksheet" Target="/xl/worksheets/sheet23.xml" Id="Ra8b5bd0b66214fe9" /><Relationship Type="http://schemas.openxmlformats.org/officeDocument/2006/relationships/worksheet" Target="/xl/worksheets/sheet24.xml" Id="R8b558df649be48c0" /><Relationship Type="http://schemas.openxmlformats.org/officeDocument/2006/relationships/worksheet" Target="/xl/worksheets/sheet25.xml" Id="Ra5ca1e7940344ab2" /><Relationship Type="http://schemas.openxmlformats.org/officeDocument/2006/relationships/worksheet" Target="/xl/worksheets/sheet26.xml" Id="Rcb940bb7b8934b4f" /><Relationship Type="http://schemas.openxmlformats.org/officeDocument/2006/relationships/worksheet" Target="/xl/worksheets/sheet27.xml" Id="Re8da7167b99a4a2a" /><Relationship Type="http://schemas.openxmlformats.org/officeDocument/2006/relationships/worksheet" Target="/xl/worksheets/sheet28.xml" Id="R3559f081c6fe403c" /><Relationship Type="http://schemas.openxmlformats.org/officeDocument/2006/relationships/worksheet" Target="/xl/worksheets/sheet29.xml" Id="R7ee43e705e974c43" /><Relationship Type="http://schemas.openxmlformats.org/officeDocument/2006/relationships/worksheet" Target="/xl/worksheets/sheet30.xml" Id="R28f161e0accb4429" /><Relationship Type="http://schemas.openxmlformats.org/officeDocument/2006/relationships/worksheet" Target="/xl/worksheets/sheet31.xml" Id="R3a361a23ce044ee5" /><Relationship Type="http://schemas.openxmlformats.org/officeDocument/2006/relationships/worksheet" Target="/xl/worksheets/sheet32.xml" Id="R6f1855ba22614f6f" /><Relationship Type="http://schemas.openxmlformats.org/officeDocument/2006/relationships/worksheet" Target="/xl/worksheets/sheet33.xml" Id="Rcf75f0e98fa44ab1" /><Relationship Type="http://schemas.openxmlformats.org/officeDocument/2006/relationships/worksheet" Target="/xl/worksheets/sheet34.xml" Id="Reeec80c4c5e046d0" /><Relationship Type="http://schemas.openxmlformats.org/officeDocument/2006/relationships/worksheet" Target="/xl/worksheets/sheet35.xml" Id="R73e85ae770794a87" /><Relationship Type="http://schemas.openxmlformats.org/officeDocument/2006/relationships/worksheet" Target="/xl/worksheets/sheet36.xml" Id="R6b8fe7691aee4cdd" /><Relationship Type="http://schemas.openxmlformats.org/officeDocument/2006/relationships/worksheet" Target="/xl/worksheets/sheet37.xml" Id="Rb63e02c926d544f5" /><Relationship Type="http://schemas.openxmlformats.org/officeDocument/2006/relationships/worksheet" Target="/xl/worksheets/sheet38.xml" Id="Rab97368d1bef42c9" /><Relationship Type="http://schemas.openxmlformats.org/officeDocument/2006/relationships/worksheet" Target="/xl/worksheets/sheet39.xml" Id="R28875709648d4cce" /><Relationship Type="http://schemas.microsoft.com/office/2017/10/relationships/person" Target="/xl/persons/person.xml" Id="R0ecc6d57cca7486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735b65fda2554f0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ac7e24b09484b26" /><Relationship Type="http://schemas.openxmlformats.org/officeDocument/2006/relationships/chart" Target="/xl/drawings/charts/chart2.xml" Id="R686e6fc4604f4e7f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d11d80c5cf1947df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5e97a72a27b0420c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a1f4fb6c75394a0b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caa5d9d5269440b2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chart" Target="/xl/drawings/charts/chart7.xml" Id="R1b94aacf04ad4c00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chart" Target="/xl/drawings/charts/chart8.xml" Id="Rb38b5313a4c94a61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chart" Target="/xl/drawings/charts/chart9.xml" Id="Rd0ec2fdea80e4bb2" /></Relationships>
</file>

<file path=xl/drawings/_rels/drawing10.xml.rels>&#65279;<?xml version="1.0" encoding="utf-8"?><Relationships xmlns="http://schemas.openxmlformats.org/package/2006/relationships"><Relationship Type="http://schemas.openxmlformats.org/officeDocument/2006/relationships/chart" Target="/xl/drawings/charts/chart10.xml" Id="Rae270aa1005b4ef0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chart" Target="/xl/drawings/charts/chart11.xml" Id="R6b194d2d79a24454" /></Relationships>
</file>

<file path=xl/drawings/_rels/drawing12.xml.rels>&#65279;<?xml version="1.0" encoding="utf-8"?><Relationships xmlns="http://schemas.openxmlformats.org/package/2006/relationships"><Relationship Type="http://schemas.openxmlformats.org/officeDocument/2006/relationships/chart" Target="/xl/drawings/charts/chart12.xml" Id="R8c7d76400b0f48e8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chart" Target="/xl/drawings/charts/chart13.xml" Id="R2b014e77238440e7" /></Relationships>
</file>

<file path=xl/drawings/_rels/drawing14.xml.rels>&#65279;<?xml version="1.0" encoding="utf-8"?><Relationships xmlns="http://schemas.openxmlformats.org/package/2006/relationships"><Relationship Type="http://schemas.openxmlformats.org/officeDocument/2006/relationships/chart" Target="/xl/drawings/charts/chart14.xml" Id="R822e8c5fd8984095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chart" Target="/xl/drawings/charts/chart15.xml" Id="R6e5e038ea28f4403" /></Relationships>
</file>

<file path=xl/drawings/_rels/drawing16.xml.rels>&#65279;<?xml version="1.0" encoding="utf-8"?><Relationships xmlns="http://schemas.openxmlformats.org/package/2006/relationships"><Relationship Type="http://schemas.openxmlformats.org/officeDocument/2006/relationships/chart" Target="/xl/drawings/charts/chart16.xml" Id="R56adb42884584b30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chart" Target="/xl/drawings/charts/chart17.xml" Id="R2bb68fbd5d074c6a" /></Relationships>
</file>

<file path=xl/drawings/_rels/drawing18.xml.rels>&#65279;<?xml version="1.0" encoding="utf-8"?><Relationships xmlns="http://schemas.openxmlformats.org/package/2006/relationships"><Relationship Type="http://schemas.openxmlformats.org/officeDocument/2006/relationships/chart" Target="/xl/drawings/charts/chart18.xml" Id="R4b92a3b577294fc5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chart" Target="/xl/drawings/charts/chart19.xml" Id="R3869f39352ec4bb6" /></Relationships>
</file>

<file path=xl/drawings/_rels/drawing20.xml.rels>&#65279;<?xml version="1.0" encoding="utf-8"?><Relationships xmlns="http://schemas.openxmlformats.org/package/2006/relationships"><Relationship Type="http://schemas.openxmlformats.org/officeDocument/2006/relationships/chart" Target="/xl/drawings/charts/chart20.xml" Id="R0542d46939994a35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chart" Target="/xl/drawings/charts/chart21.xml" Id="R58cf1e77c21c4560" /></Relationships>
</file>

<file path=xl/drawings/_rels/drawing22.xml.rels>&#65279;<?xml version="1.0" encoding="utf-8"?><Relationships xmlns="http://schemas.openxmlformats.org/package/2006/relationships"><Relationship Type="http://schemas.openxmlformats.org/officeDocument/2006/relationships/chart" Target="/xl/drawings/charts/chart22.xml" Id="R81933d6d63754666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chart" Target="/xl/drawings/charts/chart23.xml" Id="R8216572583c2413a" /></Relationships>
</file>

<file path=xl/drawings/_rels/drawing24.xml.rels>&#65279;<?xml version="1.0" encoding="utf-8"?><Relationships xmlns="http://schemas.openxmlformats.org/package/2006/relationships"><Relationship Type="http://schemas.openxmlformats.org/officeDocument/2006/relationships/chart" Target="/xl/drawings/charts/chart24.xml" Id="Ra944046a003d457c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chart" Target="/xl/drawings/charts/chart25.xml" Id="R55aa6b75aa354c6e" /></Relationships>
</file>

<file path=xl/drawings/_rels/drawing26.xml.rels>&#65279;<?xml version="1.0" encoding="utf-8"?><Relationships xmlns="http://schemas.openxmlformats.org/package/2006/relationships"><Relationship Type="http://schemas.openxmlformats.org/officeDocument/2006/relationships/chart" Target="/xl/drawings/charts/chart26.xml" Id="R81c43174bfe94c49" /></Relationships>
</file>

<file path=xl/drawings/_rels/drawing27.xml.rels>&#65279;<?xml version="1.0" encoding="utf-8"?><Relationships xmlns="http://schemas.openxmlformats.org/package/2006/relationships"><Relationship Type="http://schemas.openxmlformats.org/officeDocument/2006/relationships/chart" Target="/xl/drawings/charts/chart27.xml" Id="R14d158171edd465f" /></Relationships>
</file>

<file path=xl/drawings/_rels/drawing28.xml.rels>&#65279;<?xml version="1.0" encoding="utf-8"?><Relationships xmlns="http://schemas.openxmlformats.org/package/2006/relationships"><Relationship Type="http://schemas.openxmlformats.org/officeDocument/2006/relationships/chart" Target="/xl/drawings/charts/chart28.xml" Id="Rf9ec619210cb43cf" /></Relationships>
</file>

<file path=xl/drawings/_rels/drawing29.xml.rels>&#65279;<?xml version="1.0" encoding="utf-8"?><Relationships xmlns="http://schemas.openxmlformats.org/package/2006/relationships"><Relationship Type="http://schemas.openxmlformats.org/officeDocument/2006/relationships/chart" Target="/xl/drawings/charts/chart29.xml" Id="Recc4dc8bac314d7a" /></Relationships>
</file>

<file path=xl/drawings/_rels/drawing30.xml.rels>&#65279;<?xml version="1.0" encoding="utf-8"?><Relationships xmlns="http://schemas.openxmlformats.org/package/2006/relationships"><Relationship Type="http://schemas.openxmlformats.org/officeDocument/2006/relationships/chart" Target="/xl/drawings/charts/chart30.xml" Id="Ra49246736ecf4690" /></Relationships>
</file>

<file path=xl/drawings/_rels/drawing31.xml.rels>&#65279;<?xml version="1.0" encoding="utf-8"?><Relationships xmlns="http://schemas.openxmlformats.org/package/2006/relationships"><Relationship Type="http://schemas.openxmlformats.org/officeDocument/2006/relationships/chart" Target="/xl/drawings/charts/chart31.xml" Id="R037a4f9b173942bd" /></Relationships>
</file>

<file path=xl/drawings/_rels/drawing32.xml.rels>&#65279;<?xml version="1.0" encoding="utf-8"?><Relationships xmlns="http://schemas.openxmlformats.org/package/2006/relationships"><Relationship Type="http://schemas.openxmlformats.org/officeDocument/2006/relationships/chart" Target="/xl/drawings/charts/chart32.xml" Id="Rcba421bab3114d32" /></Relationships>
</file>

<file path=xl/drawings/_rels/drawing33.xml.rels>&#65279;<?xml version="1.0" encoding="utf-8"?><Relationships xmlns="http://schemas.openxmlformats.org/package/2006/relationships"><Relationship Type="http://schemas.openxmlformats.org/officeDocument/2006/relationships/chart" Target="/xl/drawings/charts/chart33.xml" Id="R49556f27d6584981" /></Relationships>
</file>

<file path=xl/drawings/_rels/drawing34.xml.rels>&#65279;<?xml version="1.0" encoding="utf-8"?><Relationships xmlns="http://schemas.openxmlformats.org/package/2006/relationships"><Relationship Type="http://schemas.openxmlformats.org/officeDocument/2006/relationships/chart" Target="/xl/drawings/charts/chart34.xml" Id="R9fa114ef6d4946e3" /></Relationships>
</file>

<file path=xl/drawings/_rels/drawing35.xml.rels>&#65279;<?xml version="1.0" encoding="utf-8"?><Relationships xmlns="http://schemas.openxmlformats.org/package/2006/relationships"><Relationship Type="http://schemas.openxmlformats.org/officeDocument/2006/relationships/chart" Target="/xl/drawings/charts/chart35.xml" Id="R80be39d96029467b" /></Relationships>
</file>

<file path=xl/drawings/_rels/drawing36.xml.rels>&#65279;<?xml version="1.0" encoding="utf-8"?><Relationships xmlns="http://schemas.openxmlformats.org/package/2006/relationships"><Relationship Type="http://schemas.openxmlformats.org/officeDocument/2006/relationships/chart" Target="/xl/drawings/charts/chart36.xml" Id="R216ec2fdfa504328" /></Relationships>
</file>

<file path=xl/drawings/_rels/drawing37.xml.rels>&#65279;<?xml version="1.0" encoding="utf-8"?><Relationships xmlns="http://schemas.openxmlformats.org/package/2006/relationships"><Relationship Type="http://schemas.openxmlformats.org/officeDocument/2006/relationships/chart" Target="/xl/drawings/charts/chart37.xml" Id="Rbb784fa8183d4e71" /></Relationships>
</file>

<file path=xl/drawings/_rels/drawing38.xml.rels>&#65279;<?xml version="1.0" encoding="utf-8"?><Relationships xmlns="http://schemas.openxmlformats.org/package/2006/relationships"><Relationship Type="http://schemas.openxmlformats.org/officeDocument/2006/relationships/chart" Target="/xl/drawings/charts/chart38.xml" Id="R59fea169a5c6406a" /></Relationships>
</file>

<file path=xl/drawings/charts/chart1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600" b="1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2026 - 2027 SALES</a:t>
            </a:r>
          </a:p>
        </c:rich>
      </c:tx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600" b="1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lineChart>
        <c:grouping val="standard"/>
        <c:varyColors val="0"/>
        <c:ser>
          <c:idx val="0"/>
          <c:order val="0"/>
          <c:spPr>
            <a:ln xmlns:a="http://schemas.openxmlformats.org/drawingml/2006/main" w="34925">
              <a:solidFill>
                <a:schemeClr val="accent1"/>
              </a:solidFill>
            </a:ln>
          </c:spPr>
          <c:marker>
            <c:symbol val="none"/>
          </c:marker>
          <c:dLbls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lt"/>
                    <a:cs typeface="+mn-lt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'2025-2026 YEAR TO DATE'!$A$2:$A$13</c:f>
              <c:strCache>
                <c:ptCount val="12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  <c:pt idx="5">
                  <c:v>AUGUST</c:v>
                </c:pt>
                <c:pt idx="6">
                  <c:v>SEPTEMBER</c:v>
                </c:pt>
                <c:pt idx="7">
                  <c:v>OCTOBER</c:v>
                </c:pt>
                <c:pt idx="8">
                  <c:v>NOVEMBER</c:v>
                </c:pt>
                <c:pt idx="9">
                  <c:v>DECEMBER</c:v>
                </c:pt>
                <c:pt idx="10">
                  <c:v>JANUARY</c:v>
                </c:pt>
                <c:pt idx="11">
                  <c:v>FEBRUARY</c:v>
                </c:pt>
              </c:strCache>
            </c:strRef>
          </c:cat>
          <c:val>
            <c:numRef>
              <c:f>'2025-2026 YEAR TO DATE'!$B$2:$B$13</c:f>
              <c:numCache>
                <c:formatCode>_-"R"* #,##0.00_-;\-"R"* #,##0.00_-;_-"R"* "-"??_-;_-@_-</c:formatCode>
                <c:ptCount val="12"/>
                <c:pt idx="0">
                  <c:v>0</c:v>
                </c:pt>
                <c:pt idx="1">
                  <c:v>69485</c:v>
                </c:pt>
                <c:pt idx="2">
                  <c:v>44429</c:v>
                </c:pt>
                <c:pt idx="3">
                  <c:v>92003</c:v>
                </c:pt>
                <c:pt idx="4">
                  <c:v>43957</c:v>
                </c:pt>
                <c:pt idx="5">
                  <c:v>50493</c:v>
                </c:pt>
                <c:pt idx="6">
                  <c:v>48261</c:v>
                </c:pt>
                <c:pt idx="7">
                  <c:v>34514.8</c:v>
                </c:pt>
                <c:pt idx="8">
                  <c:v>74539.75</c:v>
                </c:pt>
                <c:pt idx="9">
                  <c:v>94478.5</c:v>
                </c:pt>
                <c:pt idx="10">
                  <c:v>33200</c:v>
                </c:pt>
                <c:pt idx="11">
                  <c:v>30740.5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744285744"/>
        <c:axId val="1744284912"/>
      </c:lineChart>
      <c:catAx>
        <c:axId val="1744285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xmlns:a="http://schemas.openxmlformats.org/drawingml/2006/main" w="12700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xmlns:a="http://schemas.openxmlformats.org/drawingml/2006/main" rot="-60000000" spcFirstLastPara="1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1744284912"/>
        <c:crosses val="autoZero"/>
        <c:lblOffset val="100"/>
      </c:catAx>
      <c:valAx>
        <c:axId val="1744284912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_-&quot;R&quot;* #,##0.00_-;\-&quot;R&quot;* #,##0.00_-;_-&quot;R&quot;* &quot;-&quot;??_-;_-@_-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1744285744"/>
        <c:crosses val="autoZero"/>
        <c:crossBetween val="between"/>
      </c:valAx>
      <c:spPr>
        <a:noFill xmlns:a="http://schemas.openxmlformats.org/drawingml/2006/main"/>
        <a:ln xmlns:a="http://schemas.openxmlformats.org/drawingml/2006/main">
          <a:noFill/>
        </a:ln>
      </c:spPr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charts/chart2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3"/>
    </mc:Choice>
    <mc:Fallback>
      <c:style val="3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600" b="1" i="0" u="none" spc="10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lt"/>
                <a:cs typeface="+mn-lt"/>
              </a:rPr>
              <a:t>BUSINESS UNIT PERFORMANCE</a:t>
            </a:r>
          </a:p>
        </c:rich>
      </c:tx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600" b="1" i="0" u="none" spc="10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lt"/>
              <a:cs typeface="+mn-lt"/>
            </a:defRPr>
          </a:pPr>
        </a:p>
      </c:tx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'2025-2026 YEAR TO DATE'!$N$31</c:f>
              <c:strCache>
                <c:ptCount val="1"/>
                <c:pt idx="0">
                  <c:v>TOTAL</c:v>
                </c:pt>
              </c:strCache>
            </c:strRef>
          </c:tx>
          <c:spPr>
            <a:gradFill xmlns:a="http://schemas.openxmlformats.org/drawingml/2006/main" rotWithShape="1">
              <a:gsLst>
                <a:gs pos="0">
                  <a:schemeClr val="accent1">
                    <a:tint val="94000"/>
                    <a:lumMod val="102000"/>
                    <a:satMod val="103000"/>
                  </a:schemeClr>
                </a:gs>
                <a:gs pos="50000">
                  <a:schemeClr val="accent1">
                    <a:shade val="100000"/>
                    <a:lumMod val="100000"/>
                    <a:satMod val="110000"/>
                  </a:schemeClr>
                </a:gs>
                <a:gs pos="100000">
                  <a:schemeClr val="accent1">
                    <a:shade val="78000"/>
                    <a:lumMod val="99000"/>
                    <a:satMod val="120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</a:ln>
          </c:spPr>
          <c:dLbls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050" b="1" i="0" u="none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lt"/>
                    <a:cs typeface="+mn-lt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'2025-2026 YEAR TO DATE'!$M$32:$M$36</c:f>
              <c:strCache>
                <c:ptCount val="5"/>
                <c:pt idx="0">
                  <c:v>FOOTWEAR</c:v>
                </c:pt>
                <c:pt idx="1">
                  <c:v>DEEP CLEANING</c:v>
                </c:pt>
                <c:pt idx="2">
                  <c:v>PRINT SERVICES</c:v>
                </c:pt>
                <c:pt idx="3">
                  <c:v>RETAIL</c:v>
                </c:pt>
                <c:pt idx="4">
                  <c:v>THIRD PARTY</c:v>
                </c:pt>
              </c:strCache>
            </c:strRef>
          </c:cat>
          <c:val>
            <c:numRef>
              <c:f>'2025-2026 YEAR TO DATE'!$N$32:$N$36</c:f>
              <c:numCache>
                <c:formatCode>0%</c:formatCode>
                <c:ptCount val="5"/>
                <c:pt idx="0">
                  <c:v>0.3236641751672269</c:v>
                </c:pt>
                <c:pt idx="1">
                  <c:v>0.2418619138354708</c:v>
                </c:pt>
                <c:pt idx="2">
                  <c:v>0.09696453449922338</c:v>
                </c:pt>
                <c:pt idx="3">
                  <c:v>0.2582870469973659</c:v>
                </c:pt>
                <c:pt idx="4">
                  <c:v>0.07922232950071298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402343456"/>
        <c:axId val="402343936"/>
      </c:barChart>
      <c:catAx>
        <c:axId val="402343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xmlns:a="http://schemas.openxmlformats.org/drawingml/2006/main" w="12700" cmpd="sng">
            <a:solidFill>
              <a:schemeClr val="lt1">
                <a:lumMod val="95000"/>
                <a:alpha val="54000"/>
              </a:schemeClr>
            </a:solidFill>
          </a:ln>
        </c:spPr>
        <c:txPr>
          <a:bodyPr xmlns:a="http://schemas.openxmlformats.org/drawingml/2006/main" rot="-60000000" spcFirstLastPara="1" vert="horz" wrap="square" anchor="ctr" anchorCtr="1"/>
          <a:lstStyle xmlns:a="http://schemas.openxmlformats.org/drawingml/2006/main"/>
          <a:p xmlns:a="http://schemas.openxmlformats.org/drawingml/2006/main">
            <a:pPr>
              <a:defRPr sz="1050" b="1" i="0" u="none">
                <a:solidFill>
                  <a:schemeClr val="lt1">
                    <a:lumMod val="8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02343936"/>
        <c:crosses val="autoZero"/>
        <c:lblOffset val="100"/>
      </c:catAx>
      <c:valAx>
        <c:axId val="402343936"/>
        <c:scaling>
          <c:orientation val="minMax"/>
        </c:scaling>
        <c:delete val="0"/>
        <c:axPos val="b"/>
        <c:majorGridlines>
          <c:spPr>
            <a:ln xmlns:a="http://schemas.openxmlformats.org/drawingml/2006/main" w="9525" cmpd="sng">
              <a:solidFill>
                <a:schemeClr val="lt1">
                  <a:lumMod val="95000"/>
                  <a:alpha val="10000"/>
                </a:schemeClr>
              </a:solidFill>
            </a:ln>
          </c:spPr>
        </c:majorGridlines>
        <c:numFmt formatCode="0%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1050" b="1" i="0" u="none">
                <a:solidFill>
                  <a:schemeClr val="lt1">
                    <a:lumMod val="8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02343456"/>
        <c:crosses val="autoZero"/>
        <c:crossBetween val="between"/>
      </c:valAx>
      <c:spPr>
        <a:noFill xmlns:a="http://schemas.openxmlformats.org/drawingml/2006/main"/>
        <a:ln xmlns:a="http://schemas.openxmlformats.org/drawingml/2006/main">
          <a:noFill/>
        </a:ln>
      </c:spPr>
    </c:plotArea>
    <c:plotVisOnly val="1"/>
  </c:chart>
  <c: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</a:ln>
  </c:spPr>
</c:chartSpace>
</file>

<file path=xl/drawings/charts/chart3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400" b="0" i="0" u="none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March 2026 Sales</a:t>
            </a:r>
          </a:p>
        </c:rich>
      </c:tx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400" b="0" i="0" u="none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view3D>
      <c:rotX val="30"/>
      <c:rotY val="0"/>
      <c:rAngAx val="0"/>
    </c:view3D>
    <c:plotArea>
      <c:pie3DChart>
        <c:ser>
          <c:idx val="0"/>
          <c:order val="0"/>
          <c:dPt>
            <c:idx val="0"/>
            <c:spPr>
              <a:solidFill xmlns:a="http://schemas.openxmlformats.org/drawingml/2006/main">
                <a:schemeClr val="accent6"/>
              </a:solidFill>
              <a:ln xmlns:a="http://schemas.openxmlformats.org/drawingml/2006/main" w="25400">
                <a:solidFill>
                  <a:schemeClr val="lt1"/>
                </a:solidFill>
              </a:ln>
            </c:spPr>
          </c:dPt>
          <c:dPt>
            <c:idx val="1"/>
            <c:spPr>
              <a:solidFill xmlns:a="http://schemas.openxmlformats.org/drawingml/2006/main">
                <a:schemeClr val="accent5"/>
              </a:solidFill>
              <a:ln xmlns:a="http://schemas.openxmlformats.org/drawingml/2006/main" w="25400">
                <a:solidFill>
                  <a:schemeClr val="lt1"/>
                </a:solidFill>
              </a:ln>
            </c:spPr>
          </c:dPt>
          <c:dPt>
            <c:idx val="2"/>
            <c:spPr>
              <a:solidFill xmlns:a="http://schemas.openxmlformats.org/drawingml/2006/main">
                <a:schemeClr val="accent4"/>
              </a:solidFill>
              <a:ln xmlns:a="http://schemas.openxmlformats.org/drawingml/2006/main" w="25400">
                <a:solidFill>
                  <a:schemeClr val="bg1"/>
                </a:solidFill>
              </a:ln>
            </c:spPr>
          </c:dPt>
          <c:dPt>
            <c:idx val="3"/>
            <c:spPr>
              <a:solidFill xmlns:a="http://schemas.openxmlformats.org/drawingml/2006/main">
                <a:schemeClr val="accent6">
                  <a:lumMod val="60000"/>
                </a:schemeClr>
              </a:solidFill>
              <a:ln xmlns:a="http://schemas.openxmlformats.org/drawingml/2006/main" w="25400">
                <a:solidFill>
                  <a:schemeClr val="lt1"/>
                </a:solidFill>
              </a:ln>
            </c:spPr>
          </c:dPt>
          <c:dLbls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000" b="1" i="0" u="none">
                    <a:solidFill>
                      <a:schemeClr val="tx1"/>
                    </a:solidFill>
                    <a:latin typeface="+mn-lt"/>
                    <a:ea typeface="+mn-lt"/>
                    <a:cs typeface="+mn-lt"/>
                  </a:defRPr>
                </a:pPr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'SHOP MARCH 2026'!$I$8:$I$11</c:f>
              <c:strCache>
                <c:ptCount val="3"/>
                <c:pt idx="0">
                  <c:v>Footwear</c:v>
                </c:pt>
                <c:pt idx="1">
                  <c:v>Deep Cleaning</c:v>
                </c:pt>
                <c:pt idx="2">
                  <c:v>Print &amp; Retail</c:v>
                </c:pt>
              </c:strCache>
            </c:strRef>
          </c:cat>
          <c:val>
            <c:numRef>
              <c:f>'SHOP MARCH 2026'!$J$8:$J$11</c:f>
              <c:numCache>
                <c:formatCode>"R"#,##0.00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dPt>
            <c:idx val="0"/>
            <c:spPr>
              <a:solidFill xmlns:a="http://schemas.openxmlformats.org/drawingml/2006/main">
                <a:schemeClr val="accent6"/>
              </a:solidFill>
              <a:ln xmlns:a="http://schemas.openxmlformats.org/drawingml/2006/main" w="25400">
                <a:solidFill>
                  <a:schemeClr val="lt1"/>
                </a:solidFill>
              </a:ln>
            </c:spPr>
          </c:dPt>
          <c:dPt>
            <c:idx val="1"/>
            <c:spPr>
              <a:solidFill xmlns:a="http://schemas.openxmlformats.org/drawingml/2006/main">
                <a:schemeClr val="accent5"/>
              </a:solidFill>
              <a:ln xmlns:a="http://schemas.openxmlformats.org/drawingml/2006/main" w="25400">
                <a:solidFill>
                  <a:schemeClr val="lt1"/>
                </a:solidFill>
              </a:ln>
            </c:spPr>
          </c:dPt>
          <c:dPt>
            <c:idx val="2"/>
            <c:spPr>
              <a:solidFill xmlns:a="http://schemas.openxmlformats.org/drawingml/2006/main">
                <a:schemeClr val="accent4"/>
              </a:solidFill>
              <a:ln xmlns:a="http://schemas.openxmlformats.org/drawingml/2006/main" w="25400">
                <a:solidFill>
                  <a:schemeClr val="lt1"/>
                </a:solidFill>
              </a:ln>
            </c:spPr>
          </c:dPt>
          <c:dPt>
            <c:idx val="3"/>
            <c:spPr>
              <a:solidFill xmlns:a="http://schemas.openxmlformats.org/drawingml/2006/main">
                <a:schemeClr val="accent6">
                  <a:lumMod val="60000"/>
                </a:schemeClr>
              </a:solidFill>
              <a:ln xmlns:a="http://schemas.openxmlformats.org/drawingml/2006/main" w="25400">
                <a:solidFill>
                  <a:schemeClr val="lt1"/>
                </a:solidFill>
              </a:ln>
            </c:spPr>
          </c:dPt>
          <c:dLbls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lt"/>
                    <a:cs typeface="+mn-lt"/>
                  </a:defRPr>
                </a:pPr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'SHOP MARCH 2026'!$I$8:$I$11</c:f>
              <c:strCache>
                <c:ptCount val="3"/>
                <c:pt idx="0">
                  <c:v>Footwear</c:v>
                </c:pt>
                <c:pt idx="1">
                  <c:v>Deep Cleaning</c:v>
                </c:pt>
                <c:pt idx="2">
                  <c:v>Print &amp; Retail</c:v>
                </c:pt>
              </c:strCache>
            </c:strRef>
          </c:cat>
          <c:val>
            <c:numRef>
              <c:f>'SHOP MARCH 2026'!$K$8:$K$11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 xmlns:a="http://schemas.openxmlformats.org/drawingml/2006/main"/>
        <a:ln xmlns:a="http://schemas.openxmlformats.org/drawingml/2006/main">
          <a:noFill/>
        </a:ln>
      </c:spPr>
    </c:plotArea>
    <c:legend>
      <c:legendPos val="b"/>
      <c:overlay val="0"/>
      <c:spPr>
        <a:noFill xmlns:a="http://schemas.openxmlformats.org/drawingml/2006/main"/>
      </c:spPr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charts/chart4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600" b="1" i="0" u="none" cap="all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THIRD PARTY</a:t>
            </a:r>
          </a:p>
        </c:rich>
      </c:tx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600" b="1" i="0" u="none" cap="all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view3D>
      <c:rotX val="30"/>
      <c:rotY val="0"/>
      <c:rAngAx val="0"/>
    </c:view3D>
    <c:plotArea>
      <c:pie3DChart>
        <c:ser>
          <c:idx val="0"/>
          <c:order val="0"/>
          <c:dPt>
            <c:idx val="0"/>
            <c:spPr>
              <a:solidFill xmlns:a="http://schemas.openxmlformats.org/drawingml/2006/main">
                <a:schemeClr val="accent6"/>
              </a:solidFill>
              <a:ln xmlns:a="http://schemas.openxmlformats.org/drawingml/2006/main">
                <a:noFill/>
              </a:ln>
            </c:spPr>
          </c:dPt>
          <c:dPt>
            <c:idx val="1"/>
            <c:spPr>
              <a:solidFill xmlns:a="http://schemas.openxmlformats.org/drawingml/2006/main">
                <a:schemeClr val="accent5"/>
              </a:solidFill>
              <a:ln xmlns:a="http://schemas.openxmlformats.org/drawingml/2006/main">
                <a:noFill/>
              </a:ln>
            </c:spPr>
          </c:dPt>
          <c:dPt>
            <c:idx val="2"/>
            <c: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</a:ln>
            </c:spPr>
          </c:dPt>
          <c:dLbls>
            <c:dLbl>
              <c:idx val="0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1" i="0" u="none" spc="0">
                      <a:solidFill>
                        <a:schemeClr val="accent6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1" i="0" u="none" spc="0">
                      <a:solidFill>
                        <a:schemeClr val="accent5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2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1" i="0" u="none" spc="0">
                      <a:solidFill>
                        <a:schemeClr val="accent4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'THIRD PARTY MARCH 2026'!$H$7:$H$9</c:f>
              <c:strCache>
                <c:ptCount val="3"/>
                <c:pt idx="0">
                  <c:v>Kitwe</c:v>
                </c:pt>
                <c:pt idx="1">
                  <c:v>Eldo</c:v>
                </c:pt>
                <c:pt idx="2">
                  <c:v>Clubview</c:v>
                </c:pt>
              </c:strCache>
            </c:strRef>
          </c:cat>
          <c:val>
            <c:numRef>
              <c:f>'THIRD PARTY MARCH 2026'!$I$7:$I$9</c:f>
              <c:numCache>
                <c:formatCode>"R"#,##0.00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dPt>
            <c:idx val="0"/>
            <c:spPr>
              <a:solidFill xmlns:a="http://schemas.openxmlformats.org/drawingml/2006/main">
                <a:schemeClr val="accent6"/>
              </a:solidFill>
              <a:ln xmlns:a="http://schemas.openxmlformats.org/drawingml/2006/main">
                <a:noFill/>
              </a:ln>
            </c:spPr>
          </c:dPt>
          <c:dPt>
            <c:idx val="1"/>
            <c:spPr>
              <a:solidFill xmlns:a="http://schemas.openxmlformats.org/drawingml/2006/main">
                <a:schemeClr val="accent5"/>
              </a:solidFill>
              <a:ln xmlns:a="http://schemas.openxmlformats.org/drawingml/2006/main">
                <a:noFill/>
              </a:ln>
            </c:spPr>
          </c:dPt>
          <c:dPt>
            <c:idx val="2"/>
            <c: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</a:ln>
            </c:spPr>
          </c:dPt>
          <c:dLbls>
            <c:dLbl>
              <c:idx val="0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1" i="0" u="none" spc="0">
                      <a:solidFill>
                        <a:schemeClr val="accent6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1" i="0" u="none" spc="0">
                      <a:solidFill>
                        <a:schemeClr val="accent5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2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1" i="0" u="none" spc="0">
                      <a:solidFill>
                        <a:schemeClr val="accent4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'THIRD PARTY MARCH 2026'!$H$7:$H$9</c:f>
              <c:strCache>
                <c:ptCount val="3"/>
                <c:pt idx="0">
                  <c:v>Kitwe</c:v>
                </c:pt>
                <c:pt idx="1">
                  <c:v>Eldo</c:v>
                </c:pt>
                <c:pt idx="2">
                  <c:v>Clubview</c:v>
                </c:pt>
              </c:strCache>
            </c:strRef>
          </c:cat>
          <c:val>
            <c:numRef>
              <c:f>'THIRD PARTY MARCH 2026'!$J$7:$J$9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 xmlns:a="http://schemas.openxmlformats.org/drawingml/2006/main"/>
        <a:ln xmlns:a="http://schemas.openxmlformats.org/drawingml/2006/main">
          <a:noFill/>
        </a:ln>
      </c:spPr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noFill/>
    </a:ln>
  </c:spPr>
</c:chartSpace>
</file>

<file path=xl/drawings/charts/chart5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1"/>
    <c:view3D>
      <c:rotX val="30"/>
      <c:rotY val="0"/>
      <c:rAngAx val="0"/>
    </c:view3D>
    <c:plotArea>
      <c:layout>
        <c:manualLayout>
          <c:layoutTarget val="inner"/>
          <c:xMode val="edge"/>
          <c:yMode val="edge"/>
          <c:x val="0.097916576878516"/>
          <c:y val="0.17709810760771394"/>
          <c:w val="0.804166846242968"/>
          <c:h val="0.7604022512815423"/>
        </c:manualLayout>
      </c:layout>
      <c:pie3DChart>
        <c:ser>
          <c:idx val="0"/>
          <c:order val="0"/>
          <c:dPt>
            <c:idx val="0"/>
            <c:spPr>
              <a:solidFill xmlns:a="http://schemas.openxmlformats.org/drawingml/2006/main">
                <a:schemeClr val="accent6"/>
              </a:solidFill>
              <a:ln xmlns:a="http://schemas.openxmlformats.org/drawingml/2006/main">
                <a:noFill/>
              </a:ln>
            </c:spPr>
          </c:dPt>
          <c:dPt>
            <c:idx val="1"/>
            <c:spPr>
              <a:solidFill xmlns:a="http://schemas.openxmlformats.org/drawingml/2006/main">
                <a:schemeClr val="accent5"/>
              </a:solidFill>
              <a:ln xmlns:a="http://schemas.openxmlformats.org/drawingml/2006/main">
                <a:noFill/>
              </a:ln>
            </c:spPr>
          </c:dPt>
          <c:dLbls>
            <c:dLbl>
              <c:idx val="0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1" i="0" u="none" spc="0">
                      <a:solidFill>
                        <a:schemeClr val="accent6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1" i="0" u="none" spc="0">
                      <a:solidFill>
                        <a:schemeClr val="accent5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'CLEANSTEP MARCH 2025'!$A$5:$A$6</c:f>
              <c:strCache>
                <c:ptCount val="2"/>
                <c:pt idx="0">
                  <c:v>SHOP</c:v>
                </c:pt>
                <c:pt idx="1">
                  <c:v>THIRD PARTY </c:v>
                </c:pt>
              </c:strCache>
            </c:strRef>
          </c:cat>
          <c:val>
            <c:numRef>
              <c:f>'CLEANSTEP MARCH 2025'!$B$5:$B$6</c:f>
              <c:numCache>
                <c:formatCode>"R"#,##0.00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 xmlns:a="http://schemas.openxmlformats.org/drawingml/2006/main"/>
        <a:ln xmlns:a="http://schemas.openxmlformats.org/drawingml/2006/main">
          <a:noFill/>
        </a:ln>
      </c:spPr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noFill/>
    </a:ln>
  </c:spPr>
</c:chartSpace>
</file>

<file path=xl/drawings/charts/chart6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400" b="0" i="0" u="none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April 2026 Sales</a:t>
            </a:r>
          </a:p>
        </c:rich>
      </c:tx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400" b="0" i="0" u="none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view3D>
      <c:rotX val="30"/>
      <c:rotY val="0"/>
      <c:rAngAx val="0"/>
    </c:view3D>
    <c:plotArea>
      <c:pie3DChart>
        <c:ser>
          <c:idx val="0"/>
          <c:order val="0"/>
          <c:dPt>
            <c:idx val="0"/>
            <c:spPr>
              <a:solidFill xmlns:a="http://schemas.openxmlformats.org/drawingml/2006/main">
                <a:schemeClr val="accent6"/>
              </a:solidFill>
              <a:ln xmlns:a="http://schemas.openxmlformats.org/drawingml/2006/main" w="25400">
                <a:solidFill>
                  <a:schemeClr val="lt1"/>
                </a:solidFill>
              </a:ln>
            </c:spPr>
          </c:dPt>
          <c:dPt>
            <c:idx val="1"/>
            <c:spPr>
              <a:solidFill xmlns:a="http://schemas.openxmlformats.org/drawingml/2006/main">
                <a:schemeClr val="accent5"/>
              </a:solidFill>
              <a:ln xmlns:a="http://schemas.openxmlformats.org/drawingml/2006/main" w="25400">
                <a:solidFill>
                  <a:schemeClr val="lt1"/>
                </a:solidFill>
              </a:ln>
            </c:spPr>
          </c:dPt>
          <c:dPt>
            <c:idx val="2"/>
            <c:spPr>
              <a:solidFill xmlns:a="http://schemas.openxmlformats.org/drawingml/2006/main">
                <a:schemeClr val="accent4"/>
              </a:solidFill>
              <a:ln xmlns:a="http://schemas.openxmlformats.org/drawingml/2006/main" w="25400">
                <a:solidFill>
                  <a:schemeClr val="bg1"/>
                </a:solidFill>
              </a:ln>
            </c:spPr>
          </c:dPt>
          <c:dPt>
            <c:idx val="3"/>
            <c:spPr>
              <a:solidFill xmlns:a="http://schemas.openxmlformats.org/drawingml/2006/main">
                <a:schemeClr val="accent6">
                  <a:lumMod val="60000"/>
                </a:schemeClr>
              </a:solidFill>
              <a:ln xmlns:a="http://schemas.openxmlformats.org/drawingml/2006/main" w="25400">
                <a:solidFill>
                  <a:schemeClr val="lt1"/>
                </a:solidFill>
              </a:ln>
            </c:spPr>
          </c:dPt>
          <c:dLbls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000" b="1" i="0" u="none">
                    <a:solidFill>
                      <a:schemeClr val="tx1"/>
                    </a:solidFill>
                    <a:latin typeface="+mn-lt"/>
                    <a:ea typeface="+mn-lt"/>
                    <a:cs typeface="+mn-lt"/>
                  </a:defRPr>
                </a:pPr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'SHOP APRIL 2025 (2)'!$I$8:$I$11</c:f>
              <c:strCache>
                <c:ptCount val="3"/>
                <c:pt idx="0">
                  <c:v>Footwear</c:v>
                </c:pt>
                <c:pt idx="1">
                  <c:v>Deep Cleaning</c:v>
                </c:pt>
                <c:pt idx="2">
                  <c:v>Print &amp; Retail</c:v>
                </c:pt>
              </c:strCache>
            </c:strRef>
          </c:cat>
          <c:val>
            <c:numRef>
              <c:f>'SHOP APRIL 2025 (2)'!$J$8:$J$11</c:f>
              <c:numCache>
                <c:formatCode>"R"#,##0.00</c:formatCode>
                <c:ptCount val="4"/>
                <c:pt idx="0">
                  <c:v>18890</c:v>
                </c:pt>
                <c:pt idx="1">
                  <c:v>41986</c:v>
                </c:pt>
                <c:pt idx="2">
                  <c:v>6281</c:v>
                </c:pt>
              </c:numCache>
            </c:numRef>
          </c:val>
        </c:ser>
        <c:ser>
          <c:idx val="1"/>
          <c:order val="1"/>
          <c:dPt>
            <c:idx val="0"/>
            <c:spPr>
              <a:solidFill xmlns:a="http://schemas.openxmlformats.org/drawingml/2006/main">
                <a:schemeClr val="accent6"/>
              </a:solidFill>
              <a:ln xmlns:a="http://schemas.openxmlformats.org/drawingml/2006/main" w="25400">
                <a:solidFill>
                  <a:schemeClr val="lt1"/>
                </a:solidFill>
              </a:ln>
            </c:spPr>
          </c:dPt>
          <c:dPt>
            <c:idx val="1"/>
            <c:spPr>
              <a:solidFill xmlns:a="http://schemas.openxmlformats.org/drawingml/2006/main">
                <a:schemeClr val="accent5"/>
              </a:solidFill>
              <a:ln xmlns:a="http://schemas.openxmlformats.org/drawingml/2006/main" w="25400">
                <a:solidFill>
                  <a:schemeClr val="lt1"/>
                </a:solidFill>
              </a:ln>
            </c:spPr>
          </c:dPt>
          <c:dPt>
            <c:idx val="2"/>
            <c:spPr>
              <a:solidFill xmlns:a="http://schemas.openxmlformats.org/drawingml/2006/main">
                <a:schemeClr val="accent4"/>
              </a:solidFill>
              <a:ln xmlns:a="http://schemas.openxmlformats.org/drawingml/2006/main" w="25400">
                <a:solidFill>
                  <a:schemeClr val="lt1"/>
                </a:solidFill>
              </a:ln>
            </c:spPr>
          </c:dPt>
          <c:dPt>
            <c:idx val="3"/>
            <c:spPr>
              <a:solidFill xmlns:a="http://schemas.openxmlformats.org/drawingml/2006/main">
                <a:schemeClr val="accent6">
                  <a:lumMod val="60000"/>
                </a:schemeClr>
              </a:solidFill>
              <a:ln xmlns:a="http://schemas.openxmlformats.org/drawingml/2006/main" w="25400">
                <a:solidFill>
                  <a:schemeClr val="lt1"/>
                </a:solidFill>
              </a:ln>
            </c:spPr>
          </c:dPt>
          <c:dLbls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lt"/>
                    <a:cs typeface="+mn-lt"/>
                  </a:defRPr>
                </a:pPr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'SHOP APRIL 2025 (2)'!$I$8:$I$11</c:f>
              <c:strCache>
                <c:ptCount val="3"/>
                <c:pt idx="0">
                  <c:v>Footwear</c:v>
                </c:pt>
                <c:pt idx="1">
                  <c:v>Deep Cleaning</c:v>
                </c:pt>
                <c:pt idx="2">
                  <c:v>Print &amp; Retail</c:v>
                </c:pt>
              </c:strCache>
            </c:strRef>
          </c:cat>
          <c:val>
            <c:numRef>
              <c:f>'SHOP APRIL 2025 (2)'!$K$8:$K$11</c:f>
              <c:numCache>
                <c:formatCode>0%</c:formatCode>
                <c:ptCount val="4"/>
                <c:pt idx="0">
                  <c:v>0.28128117694357996</c:v>
                </c:pt>
                <c:pt idx="1">
                  <c:v>0.625191714936641</c:v>
                </c:pt>
                <c:pt idx="2">
                  <c:v>0.09352710811977903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 xmlns:a="http://schemas.openxmlformats.org/drawingml/2006/main"/>
        <a:ln xmlns:a="http://schemas.openxmlformats.org/drawingml/2006/main">
          <a:noFill/>
        </a:ln>
      </c:spPr>
    </c:plotArea>
    <c:legend>
      <c:legendPos val="b"/>
      <c:overlay val="0"/>
      <c:spPr>
        <a:noFill xmlns:a="http://schemas.openxmlformats.org/drawingml/2006/main"/>
      </c:spPr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charts/chart7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600" b="1" i="0" u="none" cap="all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THIRD PARTY</a:t>
            </a:r>
          </a:p>
        </c:rich>
      </c:tx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600" b="1" i="0" u="none" cap="all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view3D>
      <c:rotX val="30"/>
      <c:rotY val="0"/>
      <c:rAngAx val="0"/>
    </c:view3D>
    <c:plotArea>
      <c:pie3DChart>
        <c:ser>
          <c:idx val="0"/>
          <c:order val="0"/>
          <c:dPt>
            <c:idx val="0"/>
            <c:spPr>
              <a:solidFill xmlns:a="http://schemas.openxmlformats.org/drawingml/2006/main">
                <a:schemeClr val="accent6"/>
              </a:solidFill>
              <a:ln xmlns:a="http://schemas.openxmlformats.org/drawingml/2006/main">
                <a:noFill/>
              </a:ln>
            </c:spPr>
          </c:dPt>
          <c:dPt>
            <c:idx val="1"/>
            <c:spPr>
              <a:solidFill xmlns:a="http://schemas.openxmlformats.org/drawingml/2006/main">
                <a:schemeClr val="accent5"/>
              </a:solidFill>
              <a:ln xmlns:a="http://schemas.openxmlformats.org/drawingml/2006/main">
                <a:noFill/>
              </a:ln>
            </c:spPr>
          </c:dPt>
          <c:dPt>
            <c:idx val="2"/>
            <c: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</a:ln>
            </c:spPr>
          </c:dPt>
          <c:dLbls>
            <c:dLbl>
              <c:idx val="0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1" i="0" u="none" spc="0">
                      <a:solidFill>
                        <a:schemeClr val="accent6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1" i="0" u="none" spc="0">
                      <a:solidFill>
                        <a:schemeClr val="accent5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2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1" i="0" u="none" spc="0">
                      <a:solidFill>
                        <a:schemeClr val="accent4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'THIRD PARTY APRIL 2025 (2)'!$H$7:$H$9</c:f>
              <c:strCache>
                <c:ptCount val="3"/>
                <c:pt idx="0">
                  <c:v>Kitwe</c:v>
                </c:pt>
                <c:pt idx="1">
                  <c:v>Eldo</c:v>
                </c:pt>
                <c:pt idx="2">
                  <c:v>Clubview</c:v>
                </c:pt>
              </c:strCache>
            </c:strRef>
          </c:cat>
          <c:val>
            <c:numRef>
              <c:f>'THIRD PARTY APRIL 2025 (2)'!$I$7:$I$9</c:f>
              <c:numCache>
                <c:formatCode>"R"#,##0.00</c:formatCode>
                <c:ptCount val="3"/>
                <c:pt idx="0">
                  <c:v>1920</c:v>
                </c:pt>
                <c:pt idx="1">
                  <c:v>408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dPt>
            <c:idx val="0"/>
            <c:spPr>
              <a:solidFill xmlns:a="http://schemas.openxmlformats.org/drawingml/2006/main">
                <a:schemeClr val="accent6"/>
              </a:solidFill>
              <a:ln xmlns:a="http://schemas.openxmlformats.org/drawingml/2006/main">
                <a:noFill/>
              </a:ln>
            </c:spPr>
          </c:dPt>
          <c:dPt>
            <c:idx val="1"/>
            <c:spPr>
              <a:solidFill xmlns:a="http://schemas.openxmlformats.org/drawingml/2006/main">
                <a:schemeClr val="accent5"/>
              </a:solidFill>
              <a:ln xmlns:a="http://schemas.openxmlformats.org/drawingml/2006/main">
                <a:noFill/>
              </a:ln>
            </c:spPr>
          </c:dPt>
          <c:dPt>
            <c:idx val="2"/>
            <c: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</a:ln>
            </c:spPr>
          </c:dPt>
          <c:dLbls>
            <c:dLbl>
              <c:idx val="0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1" i="0" u="none" spc="0">
                      <a:solidFill>
                        <a:schemeClr val="accent6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1" i="0" u="none" spc="0">
                      <a:solidFill>
                        <a:schemeClr val="accent5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2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1" i="0" u="none" spc="0">
                      <a:solidFill>
                        <a:schemeClr val="accent4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'THIRD PARTY APRIL 2025 (2)'!$H$7:$H$9</c:f>
              <c:strCache>
                <c:ptCount val="3"/>
                <c:pt idx="0">
                  <c:v>Kitwe</c:v>
                </c:pt>
                <c:pt idx="1">
                  <c:v>Eldo</c:v>
                </c:pt>
                <c:pt idx="2">
                  <c:v>Clubview</c:v>
                </c:pt>
              </c:strCache>
            </c:strRef>
          </c:cat>
          <c:val>
            <c:numRef>
              <c:f>'THIRD PARTY APRIL 2025 (2)'!$J$7:$J$9</c:f>
              <c:numCache>
                <c:formatCode>0%</c:formatCode>
                <c:ptCount val="3"/>
                <c:pt idx="0">
                  <c:v>0.8247422680412371</c:v>
                </c:pt>
                <c:pt idx="1">
                  <c:v>0.17525773195876287</c:v>
                </c:pt>
                <c:pt idx="2">
                  <c:v>0</c:v>
                </c:pt>
              </c:numCache>
            </c:numRef>
          </c:val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 xmlns:a="http://schemas.openxmlformats.org/drawingml/2006/main"/>
        <a:ln xmlns:a="http://schemas.openxmlformats.org/drawingml/2006/main">
          <a:noFill/>
        </a:ln>
      </c:spPr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noFill/>
    </a:ln>
  </c:spPr>
</c:chartSpace>
</file>

<file path=xl/drawings/charts/chart8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1"/>
    <c:view3D>
      <c:rotX val="30"/>
      <c:rotY val="0"/>
      <c:rAngAx val="0"/>
    </c:view3D>
    <c:plotArea>
      <c:layout>
        <c:manualLayout>
          <c:layoutTarget val="inner"/>
          <c:xMode val="edge"/>
          <c:yMode val="edge"/>
          <c:x val="0.097916576878516"/>
          <c:y val="0.17709810760771394"/>
          <c:w val="0.804166846242968"/>
          <c:h val="0.7604022512815423"/>
        </c:manualLayout>
      </c:layout>
      <c:pie3DChart>
        <c:ser>
          <c:idx val="0"/>
          <c:order val="0"/>
          <c:dPt>
            <c:idx val="0"/>
            <c:spPr>
              <a:solidFill xmlns:a="http://schemas.openxmlformats.org/drawingml/2006/main">
                <a:schemeClr val="accent6"/>
              </a:solidFill>
              <a:ln xmlns:a="http://schemas.openxmlformats.org/drawingml/2006/main">
                <a:noFill/>
              </a:ln>
            </c:spPr>
          </c:dPt>
          <c:dPt>
            <c:idx val="1"/>
            <c:spPr>
              <a:solidFill xmlns:a="http://schemas.openxmlformats.org/drawingml/2006/main">
                <a:schemeClr val="accent5"/>
              </a:solidFill>
              <a:ln xmlns:a="http://schemas.openxmlformats.org/drawingml/2006/main">
                <a:noFill/>
              </a:ln>
            </c:spPr>
          </c:dPt>
          <c:dLbls>
            <c:dLbl>
              <c:idx val="0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100" b="1" i="0" u="none" spc="0">
                      <a:solidFill>
                        <a:schemeClr val="accent6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100" b="1" i="0" u="none" spc="0">
                      <a:solidFill>
                        <a:schemeClr val="accent5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100" b="1" i="0" u="none" spc="0">
                    <a:solidFill>
                      <a:schemeClr val="accent6"/>
                    </a:solidFill>
                    <a:latin typeface="+mn-lt"/>
                    <a:ea typeface="+mn-lt"/>
                    <a:cs typeface="+mn-lt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'CLEANSTEP APRIL 2025 (2)'!$A$5:$A$6</c:f>
              <c:strCache>
                <c:ptCount val="2"/>
                <c:pt idx="0">
                  <c:v>SHOP</c:v>
                </c:pt>
                <c:pt idx="1">
                  <c:v>THIRD PARTY </c:v>
                </c:pt>
              </c:strCache>
            </c:strRef>
          </c:cat>
          <c:val>
            <c:numRef>
              <c:f>'CLEANSTEP APRIL 2025 (2)'!$B$5:$B$6</c:f>
              <c:numCache>
                <c:formatCode>"R"#,##0.00</c:formatCode>
                <c:ptCount val="2"/>
                <c:pt idx="0">
                  <c:v>67157</c:v>
                </c:pt>
                <c:pt idx="1">
                  <c:v>2328</c:v>
                </c:pt>
              </c:numCache>
            </c:numRef>
          </c:val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 xmlns:a="http://schemas.openxmlformats.org/drawingml/2006/main"/>
        <a:ln xmlns:a="http://schemas.openxmlformats.org/drawingml/2006/main">
          <a:noFill/>
        </a:ln>
      </c:spPr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noFill/>
    </a:ln>
  </c:spPr>
</c:chartSpace>
</file>

<file path=xl/drawings/charts/chart9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400" b="0" i="0" u="none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May 2026 Sales</a:t>
            </a:r>
          </a:p>
        </c:rich>
      </c:tx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400" b="0" i="0" u="none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view3D>
      <c:rotX val="30"/>
      <c:rotY val="0"/>
      <c:rAngAx val="0"/>
    </c:view3D>
    <c:plotArea>
      <c:pie3DChart>
        <c:ser>
          <c:idx val="0"/>
          <c:order val="0"/>
          <c:dPt>
            <c:idx val="0"/>
            <c:spPr>
              <a:solidFill xmlns:a="http://schemas.openxmlformats.org/drawingml/2006/main">
                <a:schemeClr val="accent6"/>
              </a:solidFill>
              <a:ln xmlns:a="http://schemas.openxmlformats.org/drawingml/2006/main" w="25400">
                <a:solidFill>
                  <a:schemeClr val="lt1"/>
                </a:solidFill>
              </a:ln>
            </c:spPr>
          </c:dPt>
          <c:dPt>
            <c:idx val="1"/>
            <c:spPr>
              <a:solidFill xmlns:a="http://schemas.openxmlformats.org/drawingml/2006/main">
                <a:schemeClr val="accent5"/>
              </a:solidFill>
              <a:ln xmlns:a="http://schemas.openxmlformats.org/drawingml/2006/main" w="25400">
                <a:solidFill>
                  <a:schemeClr val="lt1"/>
                </a:solidFill>
              </a:ln>
            </c:spPr>
          </c:dPt>
          <c:dPt>
            <c:idx val="2"/>
            <c:spPr>
              <a:solidFill xmlns:a="http://schemas.openxmlformats.org/drawingml/2006/main">
                <a:schemeClr val="accent4"/>
              </a:solidFill>
              <a:ln xmlns:a="http://schemas.openxmlformats.org/drawingml/2006/main" w="25400">
                <a:solidFill>
                  <a:schemeClr val="bg1"/>
                </a:solidFill>
              </a:ln>
            </c:spPr>
          </c:dPt>
          <c:dPt>
            <c:idx val="3"/>
            <c:spPr>
              <a:solidFill xmlns:a="http://schemas.openxmlformats.org/drawingml/2006/main">
                <a:schemeClr val="accent6">
                  <a:lumMod val="60000"/>
                </a:schemeClr>
              </a:solidFill>
              <a:ln xmlns:a="http://schemas.openxmlformats.org/drawingml/2006/main" w="25400">
                <a:solidFill>
                  <a:schemeClr val="lt1"/>
                </a:solidFill>
              </a:ln>
            </c:spPr>
          </c:dPt>
          <c:dLbls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050" b="1" i="0" u="none">
                    <a:solidFill>
                      <a:schemeClr val="tx1"/>
                    </a:solidFill>
                    <a:latin typeface="+mn-lt"/>
                    <a:ea typeface="+mn-lt"/>
                    <a:cs typeface="+mn-lt"/>
                  </a:defRPr>
                </a:pPr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'SHOP MAY 2025 (3)'!$I$8:$I$11</c:f>
              <c:strCache>
                <c:ptCount val="3"/>
                <c:pt idx="0">
                  <c:v>Footwear</c:v>
                </c:pt>
                <c:pt idx="1">
                  <c:v>Deep Cleaning</c:v>
                </c:pt>
                <c:pt idx="2">
                  <c:v>Print &amp; Retail</c:v>
                </c:pt>
              </c:strCache>
            </c:strRef>
          </c:cat>
          <c:val>
            <c:numRef>
              <c:f>'SHOP MAY 2025 (3)'!$J$8:$J$11</c:f>
              <c:numCache>
                <c:formatCode>"R"#,##0.00</c:formatCode>
                <c:ptCount val="4"/>
                <c:pt idx="0">
                  <c:v>13070</c:v>
                </c:pt>
                <c:pt idx="1">
                  <c:v>9650</c:v>
                </c:pt>
                <c:pt idx="2">
                  <c:v>17777</c:v>
                </c:pt>
              </c:numCache>
            </c:numRef>
          </c:val>
        </c:ser>
        <c:ser>
          <c:idx val="1"/>
          <c:order val="1"/>
          <c:dPt>
            <c:idx val="0"/>
            <c:spPr>
              <a:solidFill xmlns:a="http://schemas.openxmlformats.org/drawingml/2006/main">
                <a:schemeClr val="accent6"/>
              </a:solidFill>
              <a:ln xmlns:a="http://schemas.openxmlformats.org/drawingml/2006/main" w="25400">
                <a:solidFill>
                  <a:schemeClr val="lt1"/>
                </a:solidFill>
              </a:ln>
            </c:spPr>
          </c:dPt>
          <c:dPt>
            <c:idx val="1"/>
            <c:spPr>
              <a:solidFill xmlns:a="http://schemas.openxmlformats.org/drawingml/2006/main">
                <a:schemeClr val="accent5"/>
              </a:solidFill>
              <a:ln xmlns:a="http://schemas.openxmlformats.org/drawingml/2006/main" w="25400">
                <a:solidFill>
                  <a:schemeClr val="lt1"/>
                </a:solidFill>
              </a:ln>
            </c:spPr>
          </c:dPt>
          <c:dPt>
            <c:idx val="2"/>
            <c:spPr>
              <a:solidFill xmlns:a="http://schemas.openxmlformats.org/drawingml/2006/main">
                <a:schemeClr val="accent4"/>
              </a:solidFill>
              <a:ln xmlns:a="http://schemas.openxmlformats.org/drawingml/2006/main" w="25400">
                <a:solidFill>
                  <a:schemeClr val="lt1"/>
                </a:solidFill>
              </a:ln>
            </c:spPr>
          </c:dPt>
          <c:dPt>
            <c:idx val="3"/>
            <c:spPr>
              <a:solidFill xmlns:a="http://schemas.openxmlformats.org/drawingml/2006/main">
                <a:schemeClr val="accent6">
                  <a:lumMod val="60000"/>
                </a:schemeClr>
              </a:solidFill>
              <a:ln xmlns:a="http://schemas.openxmlformats.org/drawingml/2006/main" w="25400">
                <a:solidFill>
                  <a:schemeClr val="lt1"/>
                </a:solidFill>
              </a:ln>
            </c:spPr>
          </c:dPt>
          <c:dLbls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lt"/>
                    <a:cs typeface="+mn-lt"/>
                  </a:defRPr>
                </a:pPr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'SHOP MAY 2025 (3)'!$I$8:$I$11</c:f>
              <c:strCache>
                <c:ptCount val="3"/>
                <c:pt idx="0">
                  <c:v>Footwear</c:v>
                </c:pt>
                <c:pt idx="1">
                  <c:v>Deep Cleaning</c:v>
                </c:pt>
                <c:pt idx="2">
                  <c:v>Print &amp; Retail</c:v>
                </c:pt>
              </c:strCache>
            </c:strRef>
          </c:cat>
          <c:val>
            <c:numRef>
              <c:f>'SHOP MAY 2025 (3)'!$K$8:$K$11</c:f>
              <c:numCache>
                <c:formatCode>0%</c:formatCode>
                <c:ptCount val="4"/>
                <c:pt idx="0">
                  <c:v>0.3227399560461269</c:v>
                </c:pt>
                <c:pt idx="1">
                  <c:v>0.23828925599427117</c:v>
                </c:pt>
                <c:pt idx="2">
                  <c:v>0.4389707879596019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 xmlns:a="http://schemas.openxmlformats.org/drawingml/2006/main"/>
        <a:ln xmlns:a="http://schemas.openxmlformats.org/drawingml/2006/main">
          <a:noFill/>
        </a:ln>
      </c:spPr>
    </c:plotArea>
    <c:legend>
      <c:legendPos val="b"/>
      <c:overlay val="0"/>
      <c:spPr>
        <a:noFill xmlns:a="http://schemas.openxmlformats.org/drawingml/2006/main"/>
      </c:spPr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charts/chart10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600" b="1" i="0" u="none" cap="all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THIRD PARTY</a:t>
            </a:r>
          </a:p>
        </c:rich>
      </c:tx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600" b="1" i="0" u="none" cap="all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view3D>
      <c:rotX val="30"/>
      <c:rotY val="0"/>
      <c:rAngAx val="0"/>
    </c:view3D>
    <c:plotArea>
      <c:pie3DChart>
        <c:ser>
          <c:idx val="0"/>
          <c:order val="0"/>
          <c:dPt>
            <c:idx val="0"/>
            <c:spPr>
              <a:solidFill xmlns:a="http://schemas.openxmlformats.org/drawingml/2006/main">
                <a:schemeClr val="accent6"/>
              </a:solidFill>
              <a:ln xmlns:a="http://schemas.openxmlformats.org/drawingml/2006/main">
                <a:noFill/>
              </a:ln>
            </c:spPr>
          </c:dPt>
          <c:dPt>
            <c:idx val="1"/>
            <c:spPr>
              <a:solidFill xmlns:a="http://schemas.openxmlformats.org/drawingml/2006/main">
                <a:schemeClr val="accent5"/>
              </a:solidFill>
              <a:ln xmlns:a="http://schemas.openxmlformats.org/drawingml/2006/main">
                <a:noFill/>
              </a:ln>
            </c:spPr>
          </c:dPt>
          <c:dPt>
            <c:idx val="2"/>
            <c: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</a:ln>
            </c:spPr>
          </c:dPt>
          <c:dLbls>
            <c:dLbl>
              <c:idx val="0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50" b="1" i="0" u="none" spc="0">
                      <a:solidFill>
                        <a:schemeClr val="accent6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50" b="1" i="0" u="none" spc="0">
                      <a:solidFill>
                        <a:schemeClr val="accent5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2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50" b="1" i="0" u="none" spc="0">
                      <a:solidFill>
                        <a:schemeClr val="accent4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050" b="1" i="0" u="none" spc="0">
                    <a:solidFill>
                      <a:schemeClr val="accent6"/>
                    </a:solidFill>
                    <a:latin typeface="+mn-lt"/>
                    <a:ea typeface="+mn-lt"/>
                    <a:cs typeface="+mn-lt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'THIRD PARTY MAY 2025 (3)'!$G$7:$G$9</c:f>
              <c:strCache>
                <c:ptCount val="3"/>
                <c:pt idx="0">
                  <c:v>Kitwe</c:v>
                </c:pt>
                <c:pt idx="1">
                  <c:v>Eldo</c:v>
                </c:pt>
                <c:pt idx="2">
                  <c:v>Clubview</c:v>
                </c:pt>
              </c:strCache>
            </c:strRef>
          </c:cat>
          <c:val>
            <c:numRef>
              <c:f>'THIRD PARTY MAY 2025 (3)'!$H$7:$H$9</c:f>
              <c:numCache>
                <c:formatCode>"R"#,##0.00</c:formatCode>
                <c:ptCount val="3"/>
                <c:pt idx="0">
                  <c:v>2400</c:v>
                </c:pt>
                <c:pt idx="1">
                  <c:v>1532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dPt>
            <c:idx val="0"/>
            <c:spPr>
              <a:solidFill xmlns:a="http://schemas.openxmlformats.org/drawingml/2006/main">
                <a:schemeClr val="accent6"/>
              </a:solidFill>
              <a:ln xmlns:a="http://schemas.openxmlformats.org/drawingml/2006/main">
                <a:noFill/>
              </a:ln>
            </c:spPr>
          </c:dPt>
          <c:dPt>
            <c:idx val="1"/>
            <c:spPr>
              <a:solidFill xmlns:a="http://schemas.openxmlformats.org/drawingml/2006/main">
                <a:schemeClr val="accent5"/>
              </a:solidFill>
              <a:ln xmlns:a="http://schemas.openxmlformats.org/drawingml/2006/main">
                <a:noFill/>
              </a:ln>
            </c:spPr>
          </c:dPt>
          <c:dPt>
            <c:idx val="2"/>
            <c: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</a:ln>
            </c:spPr>
          </c:dPt>
          <c:dLbls>
            <c:dLbl>
              <c:idx val="0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1" i="0" u="none" spc="0">
                      <a:solidFill>
                        <a:schemeClr val="accent6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1" i="0" u="none" spc="0">
                      <a:solidFill>
                        <a:schemeClr val="accent5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2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1" i="0" u="none" spc="0">
                      <a:solidFill>
                        <a:schemeClr val="accent4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'THIRD PARTY MAY 2025 (3)'!$G$7:$G$9</c:f>
              <c:strCache>
                <c:ptCount val="3"/>
                <c:pt idx="0">
                  <c:v>Kitwe</c:v>
                </c:pt>
                <c:pt idx="1">
                  <c:v>Eldo</c:v>
                </c:pt>
                <c:pt idx="2">
                  <c:v>Clubview</c:v>
                </c:pt>
              </c:strCache>
            </c:strRef>
          </c:cat>
          <c:val>
            <c:numRef>
              <c:f>'THIRD PARTY MAY 2025 (3)'!$I$7:$I$9</c:f>
              <c:numCache>
                <c:formatCode>0%</c:formatCode>
                <c:ptCount val="3"/>
                <c:pt idx="0">
                  <c:v>0.6103763987792472</c:v>
                </c:pt>
                <c:pt idx="1">
                  <c:v>0.3896236012207528</c:v>
                </c:pt>
                <c:pt idx="2">
                  <c:v>0</c:v>
                </c:pt>
              </c:numCache>
            </c:numRef>
          </c:val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 xmlns:a="http://schemas.openxmlformats.org/drawingml/2006/main"/>
        <a:ln xmlns:a="http://schemas.openxmlformats.org/drawingml/2006/main">
          <a:noFill/>
        </a:ln>
      </c:spPr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noFill/>
    </a:ln>
  </c:spPr>
</c:chartSpace>
</file>

<file path=xl/drawings/charts/chart11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1"/>
    <c:view3D>
      <c:rotX val="30"/>
      <c:rotY val="0"/>
      <c:rAngAx val="0"/>
    </c:view3D>
    <c:plotArea>
      <c:layout>
        <c:manualLayout>
          <c:layoutTarget val="inner"/>
          <c:xMode val="edge"/>
          <c:yMode val="edge"/>
          <c:x val="0.097916576878516"/>
          <c:y val="0.17709810760771394"/>
          <c:w val="0.804166846242968"/>
          <c:h val="0.7604022512815423"/>
        </c:manualLayout>
      </c:layout>
      <c:pie3DChart>
        <c:ser>
          <c:idx val="0"/>
          <c:order val="0"/>
          <c:dPt>
            <c:idx val="0"/>
            <c:spPr>
              <a:solidFill xmlns:a="http://schemas.openxmlformats.org/drawingml/2006/main">
                <a:schemeClr val="accent6"/>
              </a:solidFill>
              <a:ln xmlns:a="http://schemas.openxmlformats.org/drawingml/2006/main">
                <a:noFill/>
              </a:ln>
            </c:spPr>
          </c:dPt>
          <c:dPt>
            <c:idx val="1"/>
            <c:spPr>
              <a:solidFill xmlns:a="http://schemas.openxmlformats.org/drawingml/2006/main">
                <a:schemeClr val="accent5"/>
              </a:solidFill>
              <a:ln xmlns:a="http://schemas.openxmlformats.org/drawingml/2006/main">
                <a:noFill/>
              </a:ln>
            </c:spPr>
          </c:dPt>
          <c:dLbls>
            <c:dLbl>
              <c:idx val="0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50" b="1" i="0" u="none" spc="0">
                      <a:solidFill>
                        <a:schemeClr val="accent6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50" b="1" i="0" u="none" spc="0">
                      <a:solidFill>
                        <a:schemeClr val="accent5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050" b="1" i="0" u="none" spc="0">
                    <a:solidFill>
                      <a:schemeClr val="accent6"/>
                    </a:solidFill>
                    <a:latin typeface="+mn-lt"/>
                    <a:ea typeface="+mn-lt"/>
                    <a:cs typeface="+mn-lt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'CLEANSTEP MAY 2025 (3)'!$A$5:$A$6</c:f>
              <c:strCache>
                <c:ptCount val="2"/>
                <c:pt idx="0">
                  <c:v>SHOP</c:v>
                </c:pt>
                <c:pt idx="1">
                  <c:v>THIRD PARTY </c:v>
                </c:pt>
              </c:strCache>
            </c:strRef>
          </c:cat>
          <c:val>
            <c:numRef>
              <c:f>'CLEANSTEP MAY 2025 (3)'!$B$5:$B$6</c:f>
              <c:numCache>
                <c:formatCode>"R"#,##0.00</c:formatCode>
                <c:ptCount val="2"/>
                <c:pt idx="0">
                  <c:v>40497</c:v>
                </c:pt>
                <c:pt idx="1">
                  <c:v>3932</c:v>
                </c:pt>
              </c:numCache>
            </c:numRef>
          </c:val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 xmlns:a="http://schemas.openxmlformats.org/drawingml/2006/main"/>
        <a:ln xmlns:a="http://schemas.openxmlformats.org/drawingml/2006/main">
          <a:noFill/>
        </a:ln>
      </c:spPr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noFill/>
    </a:ln>
  </c:spPr>
</c:chartSpace>
</file>

<file path=xl/drawings/charts/chart12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400" b="0" i="0" u="none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June 2026 Sales</a:t>
            </a:r>
          </a:p>
        </c:rich>
      </c:tx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400" b="0" i="0" u="none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view3D>
      <c:rotX val="30"/>
      <c:rotY val="0"/>
      <c:rAngAx val="0"/>
    </c:view3D>
    <c:plotArea>
      <c:pie3DChart>
        <c:ser>
          <c:idx val="0"/>
          <c:order val="0"/>
          <c:dPt>
            <c:idx val="0"/>
            <c:spPr>
              <a:solidFill xmlns:a="http://schemas.openxmlformats.org/drawingml/2006/main">
                <a:schemeClr val="accent6"/>
              </a:solidFill>
              <a:ln xmlns:a="http://schemas.openxmlformats.org/drawingml/2006/main" w="25400">
                <a:solidFill>
                  <a:schemeClr val="lt1"/>
                </a:solidFill>
              </a:ln>
            </c:spPr>
          </c:dPt>
          <c:dPt>
            <c:idx val="1"/>
            <c:spPr>
              <a:solidFill xmlns:a="http://schemas.openxmlformats.org/drawingml/2006/main">
                <a:schemeClr val="accent5"/>
              </a:solidFill>
              <a:ln xmlns:a="http://schemas.openxmlformats.org/drawingml/2006/main" w="25400">
                <a:solidFill>
                  <a:schemeClr val="lt1"/>
                </a:solidFill>
              </a:ln>
            </c:spPr>
          </c:dPt>
          <c:dPt>
            <c:idx val="2"/>
            <c:spPr>
              <a:solidFill xmlns:a="http://schemas.openxmlformats.org/drawingml/2006/main">
                <a:schemeClr val="accent4"/>
              </a:solidFill>
              <a:ln xmlns:a="http://schemas.openxmlformats.org/drawingml/2006/main" w="25400">
                <a:solidFill>
                  <a:schemeClr val="bg1"/>
                </a:solidFill>
              </a:ln>
            </c:spPr>
          </c:dPt>
          <c:dPt>
            <c:idx val="3"/>
            <c:spPr>
              <a:solidFill xmlns:a="http://schemas.openxmlformats.org/drawingml/2006/main">
                <a:schemeClr val="accent6">
                  <a:lumMod val="60000"/>
                </a:schemeClr>
              </a:solidFill>
              <a:ln xmlns:a="http://schemas.openxmlformats.org/drawingml/2006/main" w="25400">
                <a:solidFill>
                  <a:schemeClr val="lt1"/>
                </a:solidFill>
              </a:ln>
            </c:spPr>
          </c:dPt>
          <c:dLbls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050" b="1" i="0" u="none">
                    <a:solidFill>
                      <a:schemeClr val="tx1"/>
                    </a:solidFill>
                    <a:latin typeface="+mn-lt"/>
                    <a:ea typeface="+mn-lt"/>
                    <a:cs typeface="+mn-lt"/>
                  </a:defRPr>
                </a:pPr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'SHOP JUNE 2025 (4)'!$I$8:$I$11</c:f>
              <c:strCache>
                <c:ptCount val="3"/>
                <c:pt idx="0">
                  <c:v>Footwear</c:v>
                </c:pt>
                <c:pt idx="1">
                  <c:v>Deep Cleaning</c:v>
                </c:pt>
                <c:pt idx="2">
                  <c:v>Print &amp; Retail</c:v>
                </c:pt>
              </c:strCache>
            </c:strRef>
          </c:cat>
          <c:val>
            <c:numRef>
              <c:f>'SHOP JUNE 2025 (4)'!$J$8:$J$11</c:f>
              <c:numCache>
                <c:formatCode>"R"#,##0.00</c:formatCode>
                <c:ptCount val="4"/>
                <c:pt idx="0">
                  <c:v>21880</c:v>
                </c:pt>
                <c:pt idx="1">
                  <c:v>3840</c:v>
                </c:pt>
                <c:pt idx="2">
                  <c:v>62653</c:v>
                </c:pt>
              </c:numCache>
            </c:numRef>
          </c:val>
        </c:ser>
        <c:ser>
          <c:idx val="1"/>
          <c:order val="1"/>
          <c:dPt>
            <c:idx val="0"/>
            <c:spPr>
              <a:solidFill xmlns:a="http://schemas.openxmlformats.org/drawingml/2006/main">
                <a:schemeClr val="accent6"/>
              </a:solidFill>
              <a:ln xmlns:a="http://schemas.openxmlformats.org/drawingml/2006/main" w="25400">
                <a:solidFill>
                  <a:schemeClr val="lt1"/>
                </a:solidFill>
              </a:ln>
            </c:spPr>
          </c:dPt>
          <c:dPt>
            <c:idx val="1"/>
            <c:spPr>
              <a:solidFill xmlns:a="http://schemas.openxmlformats.org/drawingml/2006/main">
                <a:schemeClr val="accent5"/>
              </a:solidFill>
              <a:ln xmlns:a="http://schemas.openxmlformats.org/drawingml/2006/main" w="25400">
                <a:solidFill>
                  <a:schemeClr val="lt1"/>
                </a:solidFill>
              </a:ln>
            </c:spPr>
          </c:dPt>
          <c:dPt>
            <c:idx val="2"/>
            <c:spPr>
              <a:solidFill xmlns:a="http://schemas.openxmlformats.org/drawingml/2006/main">
                <a:schemeClr val="accent4"/>
              </a:solidFill>
              <a:ln xmlns:a="http://schemas.openxmlformats.org/drawingml/2006/main" w="25400">
                <a:solidFill>
                  <a:schemeClr val="lt1"/>
                </a:solidFill>
              </a:ln>
            </c:spPr>
          </c:dPt>
          <c:dPt>
            <c:idx val="3"/>
            <c:spPr>
              <a:solidFill xmlns:a="http://schemas.openxmlformats.org/drawingml/2006/main">
                <a:schemeClr val="accent6">
                  <a:lumMod val="60000"/>
                </a:schemeClr>
              </a:solidFill>
              <a:ln xmlns:a="http://schemas.openxmlformats.org/drawingml/2006/main" w="25400">
                <a:solidFill>
                  <a:schemeClr val="lt1"/>
                </a:solidFill>
              </a:ln>
            </c:spPr>
          </c:dPt>
          <c:dLbls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lt"/>
                    <a:cs typeface="+mn-lt"/>
                  </a:defRPr>
                </a:pPr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'SHOP JUNE 2025 (4)'!$I$8:$I$11</c:f>
              <c:strCache>
                <c:ptCount val="3"/>
                <c:pt idx="0">
                  <c:v>Footwear</c:v>
                </c:pt>
                <c:pt idx="1">
                  <c:v>Deep Cleaning</c:v>
                </c:pt>
                <c:pt idx="2">
                  <c:v>Print &amp; Retail</c:v>
                </c:pt>
              </c:strCache>
            </c:strRef>
          </c:cat>
          <c:val>
            <c:numRef>
              <c:f>'SHOP JUNE 2025 (4)'!$K$8:$K$11</c:f>
              <c:numCache>
                <c:formatCode>0%</c:formatCode>
                <c:ptCount val="4"/>
                <c:pt idx="0">
                  <c:v>0.24758693266042797</c:v>
                </c:pt>
                <c:pt idx="1">
                  <c:v>0.043452185622305455</c:v>
                </c:pt>
                <c:pt idx="2">
                  <c:v>0.7089608817172666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 xmlns:a="http://schemas.openxmlformats.org/drawingml/2006/main"/>
        <a:ln xmlns:a="http://schemas.openxmlformats.org/drawingml/2006/main">
          <a:noFill/>
        </a:ln>
      </c:spPr>
    </c:plotArea>
    <c:legend>
      <c:legendPos val="b"/>
      <c:overlay val="0"/>
      <c:spPr>
        <a:noFill xmlns:a="http://schemas.openxmlformats.org/drawingml/2006/main"/>
      </c:spPr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charts/chart13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600" b="1" i="0" u="none" cap="all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THIRD PARTY</a:t>
            </a:r>
          </a:p>
        </c:rich>
      </c:tx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600" b="1" i="0" u="none" cap="all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view3D>
      <c:rotX val="30"/>
      <c:rotY val="0"/>
      <c:rAngAx val="0"/>
    </c:view3D>
    <c:plotArea>
      <c:pie3DChart>
        <c:ser>
          <c:idx val="0"/>
          <c:order val="0"/>
          <c:dPt>
            <c:idx val="0"/>
            <c:spPr>
              <a:solidFill xmlns:a="http://schemas.openxmlformats.org/drawingml/2006/main">
                <a:schemeClr val="accent6"/>
              </a:solidFill>
              <a:ln xmlns:a="http://schemas.openxmlformats.org/drawingml/2006/main">
                <a:noFill/>
              </a:ln>
            </c:spPr>
          </c:dPt>
          <c:dPt>
            <c:idx val="1"/>
            <c:spPr>
              <a:solidFill xmlns:a="http://schemas.openxmlformats.org/drawingml/2006/main">
                <a:schemeClr val="accent5"/>
              </a:solidFill>
              <a:ln xmlns:a="http://schemas.openxmlformats.org/drawingml/2006/main">
                <a:noFill/>
              </a:ln>
            </c:spPr>
          </c:dPt>
          <c:dPt>
            <c:idx val="2"/>
            <c: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</a:ln>
            </c:spPr>
          </c:dPt>
          <c:dLbls>
            <c:dLbl>
              <c:idx val="0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1" i="0" u="none" spc="0">
                      <a:solidFill>
                        <a:schemeClr val="accent6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1" i="0" u="none" spc="0">
                      <a:solidFill>
                        <a:schemeClr val="accent5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2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1" i="0" u="none" spc="0">
                      <a:solidFill>
                        <a:schemeClr val="accent4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'THIRD PARTY JUNE 2025 (4)'!$G$7:$G$9</c:f>
              <c:strCache>
                <c:ptCount val="3"/>
                <c:pt idx="0">
                  <c:v>Kitwe</c:v>
                </c:pt>
                <c:pt idx="1">
                  <c:v>Eldo</c:v>
                </c:pt>
                <c:pt idx="2">
                  <c:v>Clubview</c:v>
                </c:pt>
              </c:strCache>
            </c:strRef>
          </c:cat>
          <c:val>
            <c:numRef>
              <c:f>'THIRD PARTY JUNE 2025 (4)'!$H$7:$H$9</c:f>
              <c:numCache>
                <c:formatCode>"R"#,##0.00</c:formatCode>
                <c:ptCount val="3"/>
                <c:pt idx="0">
                  <c:v>3630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dPt>
            <c:idx val="0"/>
            <c:spPr>
              <a:solidFill xmlns:a="http://schemas.openxmlformats.org/drawingml/2006/main">
                <a:schemeClr val="accent6"/>
              </a:solidFill>
              <a:ln xmlns:a="http://schemas.openxmlformats.org/drawingml/2006/main">
                <a:noFill/>
              </a:ln>
            </c:spPr>
          </c:dPt>
          <c:dPt>
            <c:idx val="1"/>
            <c:spPr>
              <a:solidFill xmlns:a="http://schemas.openxmlformats.org/drawingml/2006/main">
                <a:schemeClr val="accent5"/>
              </a:solidFill>
              <a:ln xmlns:a="http://schemas.openxmlformats.org/drawingml/2006/main">
                <a:noFill/>
              </a:ln>
            </c:spPr>
          </c:dPt>
          <c:dPt>
            <c:idx val="2"/>
            <c: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</a:ln>
            </c:spPr>
          </c:dPt>
          <c:dLbls>
            <c:dLbl>
              <c:idx val="0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1" i="0" u="none" spc="0">
                      <a:solidFill>
                        <a:schemeClr val="accent6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1" i="0" u="none" spc="0">
                      <a:solidFill>
                        <a:schemeClr val="accent5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2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1" i="0" u="none" spc="0">
                      <a:solidFill>
                        <a:schemeClr val="accent4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'THIRD PARTY JUNE 2025 (4)'!$G$7:$G$9</c:f>
              <c:strCache>
                <c:ptCount val="3"/>
                <c:pt idx="0">
                  <c:v>Kitwe</c:v>
                </c:pt>
                <c:pt idx="1">
                  <c:v>Eldo</c:v>
                </c:pt>
                <c:pt idx="2">
                  <c:v>Clubview</c:v>
                </c:pt>
              </c:strCache>
            </c:strRef>
          </c:cat>
          <c:val>
            <c:numRef>
              <c:f>'THIRD PARTY JUNE 2025 (4)'!$I$7:$I$9</c:f>
              <c:numCache>
                <c:formatCode>0%</c:formatCode>
                <c:ptCount val="3"/>
                <c:pt idx="0">
                  <c:v>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 xmlns:a="http://schemas.openxmlformats.org/drawingml/2006/main"/>
        <a:ln xmlns:a="http://schemas.openxmlformats.org/drawingml/2006/main">
          <a:noFill/>
        </a:ln>
      </c:spPr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noFill/>
    </a:ln>
  </c:spPr>
</c:chartSpace>
</file>

<file path=xl/drawings/charts/chart14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1"/>
    <c:view3D>
      <c:rotX val="30"/>
      <c:rotY val="0"/>
      <c:rAngAx val="0"/>
    </c:view3D>
    <c:plotArea>
      <c:layout>
        <c:manualLayout>
          <c:layoutTarget val="inner"/>
          <c:xMode val="edge"/>
          <c:yMode val="edge"/>
          <c:x val="0.097916576878516"/>
          <c:y val="0.17709810760771394"/>
          <c:w val="0.804166846242968"/>
          <c:h val="0.7604022512815423"/>
        </c:manualLayout>
      </c:layout>
      <c:pie3DChart>
        <c:ser>
          <c:idx val="0"/>
          <c:order val="0"/>
          <c:dPt>
            <c:idx val="0"/>
            <c:spPr>
              <a:solidFill xmlns:a="http://schemas.openxmlformats.org/drawingml/2006/main">
                <a:schemeClr val="accent6"/>
              </a:solidFill>
              <a:ln xmlns:a="http://schemas.openxmlformats.org/drawingml/2006/main">
                <a:noFill/>
              </a:ln>
            </c:spPr>
          </c:dPt>
          <c:dPt>
            <c:idx val="1"/>
            <c:spPr>
              <a:solidFill xmlns:a="http://schemas.openxmlformats.org/drawingml/2006/main">
                <a:schemeClr val="accent5"/>
              </a:solidFill>
              <a:ln xmlns:a="http://schemas.openxmlformats.org/drawingml/2006/main">
                <a:noFill/>
              </a:ln>
            </c:spPr>
          </c:dPt>
          <c:dLbls>
            <c:dLbl>
              <c:idx val="0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1" i="0" u="none" spc="0">
                      <a:solidFill>
                        <a:schemeClr val="accent6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1" i="0" u="none" spc="0">
                      <a:solidFill>
                        <a:schemeClr val="accent5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'CLEANSTEP JUNE 2025 (4)'!$A$5:$A$6</c:f>
              <c:strCache>
                <c:ptCount val="2"/>
                <c:pt idx="0">
                  <c:v>SHOP</c:v>
                </c:pt>
                <c:pt idx="1">
                  <c:v>THIRD PARTY </c:v>
                </c:pt>
              </c:strCache>
            </c:strRef>
          </c:cat>
          <c:val>
            <c:numRef>
              <c:f>'CLEANSTEP JUNE 2025 (4)'!$B$5:$B$6</c:f>
              <c:numCache>
                <c:formatCode>"R"#,##0.00</c:formatCode>
                <c:ptCount val="2"/>
                <c:pt idx="0">
                  <c:v>88373</c:v>
                </c:pt>
                <c:pt idx="1">
                  <c:v>3630</c:v>
                </c:pt>
              </c:numCache>
            </c:numRef>
          </c:val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 xmlns:a="http://schemas.openxmlformats.org/drawingml/2006/main"/>
        <a:ln xmlns:a="http://schemas.openxmlformats.org/drawingml/2006/main">
          <a:noFill/>
        </a:ln>
      </c:spPr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noFill/>
    </a:ln>
  </c:spPr>
</c:chartSpace>
</file>

<file path=xl/drawings/charts/chart15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400" b="0" i="0" u="none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July 2026 Sales</a:t>
            </a:r>
          </a:p>
        </c:rich>
      </c:tx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400" b="0" i="0" u="none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view3D>
      <c:rotX val="30"/>
      <c:rotY val="0"/>
      <c:rAngAx val="0"/>
    </c:view3D>
    <c:plotArea>
      <c:pie3DChart>
        <c:ser>
          <c:idx val="0"/>
          <c:order val="0"/>
          <c:dPt>
            <c:idx val="0"/>
            <c:spPr>
              <a:solidFill xmlns:a="http://schemas.openxmlformats.org/drawingml/2006/main">
                <a:schemeClr val="accent6"/>
              </a:solidFill>
              <a:ln xmlns:a="http://schemas.openxmlformats.org/drawingml/2006/main" w="25400">
                <a:solidFill>
                  <a:schemeClr val="lt1"/>
                </a:solidFill>
              </a:ln>
            </c:spPr>
          </c:dPt>
          <c:dPt>
            <c:idx val="1"/>
            <c:spPr>
              <a:solidFill xmlns:a="http://schemas.openxmlformats.org/drawingml/2006/main">
                <a:schemeClr val="accent5"/>
              </a:solidFill>
              <a:ln xmlns:a="http://schemas.openxmlformats.org/drawingml/2006/main" w="25400">
                <a:solidFill>
                  <a:schemeClr val="lt1"/>
                </a:solidFill>
              </a:ln>
            </c:spPr>
          </c:dPt>
          <c:dPt>
            <c:idx val="2"/>
            <c:spPr>
              <a:solidFill xmlns:a="http://schemas.openxmlformats.org/drawingml/2006/main">
                <a:schemeClr val="accent4"/>
              </a:solidFill>
              <a:ln xmlns:a="http://schemas.openxmlformats.org/drawingml/2006/main" w="25400">
                <a:solidFill>
                  <a:schemeClr val="bg1"/>
                </a:solidFill>
              </a:ln>
            </c:spPr>
          </c:dPt>
          <c:dPt>
            <c:idx val="3"/>
            <c:spPr>
              <a:solidFill xmlns:a="http://schemas.openxmlformats.org/drawingml/2006/main">
                <a:schemeClr val="accent6">
                  <a:lumMod val="60000"/>
                </a:schemeClr>
              </a:solidFill>
              <a:ln xmlns:a="http://schemas.openxmlformats.org/drawingml/2006/main" w="25400">
                <a:solidFill>
                  <a:schemeClr val="lt1"/>
                </a:solidFill>
              </a:ln>
            </c:spPr>
          </c:dPt>
          <c:dLbls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000" b="1" i="0" u="none">
                    <a:solidFill>
                      <a:schemeClr val="tx1"/>
                    </a:solidFill>
                    <a:latin typeface="+mn-lt"/>
                    <a:ea typeface="+mn-lt"/>
                    <a:cs typeface="+mn-lt"/>
                  </a:defRPr>
                </a:pPr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'SHOP JULY 2025 (5)'!$I$8:$I$11</c:f>
              <c:strCache>
                <c:ptCount val="3"/>
                <c:pt idx="0">
                  <c:v>Footwear</c:v>
                </c:pt>
                <c:pt idx="1">
                  <c:v>Deep Cleaning</c:v>
                </c:pt>
                <c:pt idx="2">
                  <c:v>Print &amp; Retail</c:v>
                </c:pt>
              </c:strCache>
            </c:strRef>
          </c:cat>
          <c:val>
            <c:numRef>
              <c:f>'SHOP JULY 2025 (5)'!$J$8:$J$11</c:f>
              <c:numCache>
                <c:formatCode>"R"#,##0.00</c:formatCode>
                <c:ptCount val="4"/>
                <c:pt idx="0">
                  <c:v>24300</c:v>
                </c:pt>
                <c:pt idx="1">
                  <c:v>6820</c:v>
                </c:pt>
                <c:pt idx="2">
                  <c:v>7810</c:v>
                </c:pt>
              </c:numCache>
            </c:numRef>
          </c:val>
        </c:ser>
        <c:ser>
          <c:idx val="1"/>
          <c:order val="1"/>
          <c:dPt>
            <c:idx val="0"/>
            <c:spPr>
              <a:solidFill xmlns:a="http://schemas.openxmlformats.org/drawingml/2006/main">
                <a:schemeClr val="accent6"/>
              </a:solidFill>
              <a:ln xmlns:a="http://schemas.openxmlformats.org/drawingml/2006/main" w="25400">
                <a:solidFill>
                  <a:schemeClr val="lt1"/>
                </a:solidFill>
              </a:ln>
            </c:spPr>
          </c:dPt>
          <c:dPt>
            <c:idx val="1"/>
            <c:spPr>
              <a:solidFill xmlns:a="http://schemas.openxmlformats.org/drawingml/2006/main">
                <a:schemeClr val="accent5"/>
              </a:solidFill>
              <a:ln xmlns:a="http://schemas.openxmlformats.org/drawingml/2006/main" w="25400">
                <a:solidFill>
                  <a:schemeClr val="lt1"/>
                </a:solidFill>
              </a:ln>
            </c:spPr>
          </c:dPt>
          <c:dPt>
            <c:idx val="2"/>
            <c:spPr>
              <a:solidFill xmlns:a="http://schemas.openxmlformats.org/drawingml/2006/main">
                <a:schemeClr val="accent4"/>
              </a:solidFill>
              <a:ln xmlns:a="http://schemas.openxmlformats.org/drawingml/2006/main" w="25400">
                <a:solidFill>
                  <a:schemeClr val="lt1"/>
                </a:solidFill>
              </a:ln>
            </c:spPr>
          </c:dPt>
          <c:dPt>
            <c:idx val="3"/>
            <c:spPr>
              <a:solidFill xmlns:a="http://schemas.openxmlformats.org/drawingml/2006/main">
                <a:schemeClr val="accent6">
                  <a:lumMod val="60000"/>
                </a:schemeClr>
              </a:solidFill>
              <a:ln xmlns:a="http://schemas.openxmlformats.org/drawingml/2006/main" w="25400">
                <a:solidFill>
                  <a:schemeClr val="lt1"/>
                </a:solidFill>
              </a:ln>
            </c:spPr>
          </c:dPt>
          <c:dLbls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lt"/>
                    <a:cs typeface="+mn-lt"/>
                  </a:defRPr>
                </a:pPr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'SHOP JULY 2025 (5)'!$I$8:$I$11</c:f>
              <c:strCache>
                <c:ptCount val="3"/>
                <c:pt idx="0">
                  <c:v>Footwear</c:v>
                </c:pt>
                <c:pt idx="1">
                  <c:v>Deep Cleaning</c:v>
                </c:pt>
                <c:pt idx="2">
                  <c:v>Print &amp; Retail</c:v>
                </c:pt>
              </c:strCache>
            </c:strRef>
          </c:cat>
          <c:val>
            <c:numRef>
              <c:f>'SHOP JULY 2025 (5)'!$K$8:$K$11</c:f>
              <c:numCache>
                <c:formatCode>0%</c:formatCode>
                <c:ptCount val="4"/>
                <c:pt idx="0">
                  <c:v>0.6241972771641408</c:v>
                </c:pt>
                <c:pt idx="1">
                  <c:v>0.17518623169791933</c:v>
                </c:pt>
                <c:pt idx="2">
                  <c:v>0.2006164911379399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 xmlns:a="http://schemas.openxmlformats.org/drawingml/2006/main"/>
        <a:ln xmlns:a="http://schemas.openxmlformats.org/drawingml/2006/main">
          <a:noFill/>
        </a:ln>
      </c:spPr>
    </c:plotArea>
    <c:legend>
      <c:legendPos val="b"/>
      <c:overlay val="0"/>
      <c:spPr>
        <a:noFill xmlns:a="http://schemas.openxmlformats.org/drawingml/2006/main"/>
      </c:spPr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charts/chart16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600" b="1" i="0" u="none" cap="all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THIRD PARTY</a:t>
            </a:r>
          </a:p>
        </c:rich>
      </c:tx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600" b="1" i="0" u="none" cap="all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view3D>
      <c:rotX val="30"/>
      <c:rotY val="0"/>
      <c:rAngAx val="0"/>
    </c:view3D>
    <c:plotArea>
      <c:pie3DChart>
        <c:ser>
          <c:idx val="0"/>
          <c:order val="0"/>
          <c:dPt>
            <c:idx val="0"/>
            <c:spPr>
              <a:solidFill xmlns:a="http://schemas.openxmlformats.org/drawingml/2006/main">
                <a:schemeClr val="accent6"/>
              </a:solidFill>
              <a:ln xmlns:a="http://schemas.openxmlformats.org/drawingml/2006/main">
                <a:noFill/>
              </a:ln>
            </c:spPr>
          </c:dPt>
          <c:dPt>
            <c:idx val="1"/>
            <c:spPr>
              <a:solidFill xmlns:a="http://schemas.openxmlformats.org/drawingml/2006/main">
                <a:schemeClr val="accent5"/>
              </a:solidFill>
              <a:ln xmlns:a="http://schemas.openxmlformats.org/drawingml/2006/main">
                <a:noFill/>
              </a:ln>
            </c:spPr>
          </c:dPt>
          <c:dPt>
            <c:idx val="2"/>
            <c: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</a:ln>
            </c:spPr>
          </c:dPt>
          <c:dLbls>
            <c:dLbl>
              <c:idx val="0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1" i="0" u="none" spc="0">
                      <a:solidFill>
                        <a:schemeClr val="accent6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1" i="0" u="none" spc="0">
                      <a:solidFill>
                        <a:schemeClr val="accent5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2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1" i="0" u="none" spc="0">
                      <a:solidFill>
                        <a:schemeClr val="accent4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'THIRD PARTY JULY 2025 (5)'!$G$7:$G$9</c:f>
              <c:strCache>
                <c:ptCount val="3"/>
                <c:pt idx="0">
                  <c:v>Kitwe</c:v>
                </c:pt>
                <c:pt idx="1">
                  <c:v>Eldo</c:v>
                </c:pt>
                <c:pt idx="2">
                  <c:v>Clubview</c:v>
                </c:pt>
              </c:strCache>
            </c:strRef>
          </c:cat>
          <c:val>
            <c:numRef>
              <c:f>'THIRD PARTY JULY 2025 (5)'!$H$7:$H$9</c:f>
              <c:numCache>
                <c:formatCode>"R"#,##0.00</c:formatCode>
                <c:ptCount val="3"/>
                <c:pt idx="0">
                  <c:v>3510</c:v>
                </c:pt>
                <c:pt idx="1">
                  <c:v>1517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dPt>
            <c:idx val="0"/>
            <c:spPr>
              <a:solidFill xmlns:a="http://schemas.openxmlformats.org/drawingml/2006/main">
                <a:schemeClr val="accent6"/>
              </a:solidFill>
              <a:ln xmlns:a="http://schemas.openxmlformats.org/drawingml/2006/main">
                <a:noFill/>
              </a:ln>
            </c:spPr>
          </c:dPt>
          <c:dPt>
            <c:idx val="1"/>
            <c:spPr>
              <a:solidFill xmlns:a="http://schemas.openxmlformats.org/drawingml/2006/main">
                <a:schemeClr val="accent5"/>
              </a:solidFill>
              <a:ln xmlns:a="http://schemas.openxmlformats.org/drawingml/2006/main">
                <a:noFill/>
              </a:ln>
            </c:spPr>
          </c:dPt>
          <c:dPt>
            <c:idx val="2"/>
            <c: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</a:ln>
            </c:spPr>
          </c:dPt>
          <c:dLbls>
            <c:dLbl>
              <c:idx val="0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1" i="0" u="none" spc="0">
                      <a:solidFill>
                        <a:schemeClr val="accent6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1" i="0" u="none" spc="0">
                      <a:solidFill>
                        <a:schemeClr val="accent5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2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1" i="0" u="none" spc="0">
                      <a:solidFill>
                        <a:schemeClr val="accent4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'THIRD PARTY JULY 2025 (5)'!$G$7:$G$9</c:f>
              <c:strCache>
                <c:ptCount val="3"/>
                <c:pt idx="0">
                  <c:v>Kitwe</c:v>
                </c:pt>
                <c:pt idx="1">
                  <c:v>Eldo</c:v>
                </c:pt>
                <c:pt idx="2">
                  <c:v>Clubview</c:v>
                </c:pt>
              </c:strCache>
            </c:strRef>
          </c:cat>
          <c:val>
            <c:numRef>
              <c:f>'THIRD PARTY JULY 2025 (5)'!$I$7:$I$9</c:f>
              <c:numCache>
                <c:formatCode>0%</c:formatCode>
                <c:ptCount val="3"/>
                <c:pt idx="0">
                  <c:v>0.6982295603739805</c:v>
                </c:pt>
                <c:pt idx="1">
                  <c:v>0.3017704396260195</c:v>
                </c:pt>
                <c:pt idx="2">
                  <c:v>0</c:v>
                </c:pt>
              </c:numCache>
            </c:numRef>
          </c:val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 xmlns:a="http://schemas.openxmlformats.org/drawingml/2006/main"/>
        <a:ln xmlns:a="http://schemas.openxmlformats.org/drawingml/2006/main">
          <a:noFill/>
        </a:ln>
      </c:spPr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noFill/>
    </a:ln>
  </c:spPr>
</c:chartSpace>
</file>

<file path=xl/drawings/charts/chart17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1"/>
    <c:view3D>
      <c:rotX val="30"/>
      <c:rotY val="0"/>
      <c:rAngAx val="0"/>
    </c:view3D>
    <c:plotArea>
      <c:layout>
        <c:manualLayout>
          <c:layoutTarget val="inner"/>
          <c:xMode val="edge"/>
          <c:yMode val="edge"/>
          <c:x val="0.097916576878516"/>
          <c:y val="0.17709810760771394"/>
          <c:w val="0.804166846242968"/>
          <c:h val="0.7604022512815423"/>
        </c:manualLayout>
      </c:layout>
      <c:pie3DChart>
        <c:ser>
          <c:idx val="0"/>
          <c:order val="0"/>
          <c:dPt>
            <c:idx val="0"/>
            <c:spPr>
              <a:solidFill xmlns:a="http://schemas.openxmlformats.org/drawingml/2006/main">
                <a:schemeClr val="accent6"/>
              </a:solidFill>
              <a:ln xmlns:a="http://schemas.openxmlformats.org/drawingml/2006/main">
                <a:noFill/>
              </a:ln>
            </c:spPr>
          </c:dPt>
          <c:dPt>
            <c:idx val="1"/>
            <c:spPr>
              <a:solidFill xmlns:a="http://schemas.openxmlformats.org/drawingml/2006/main">
                <a:schemeClr val="accent5"/>
              </a:solidFill>
              <a:ln xmlns:a="http://schemas.openxmlformats.org/drawingml/2006/main">
                <a:noFill/>
              </a:ln>
            </c:spPr>
          </c:dPt>
          <c:dLbls>
            <c:dLbl>
              <c:idx val="0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1" i="0" u="none" spc="0">
                      <a:solidFill>
                        <a:schemeClr val="accent6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1" i="0" u="none" spc="0">
                      <a:solidFill>
                        <a:schemeClr val="accent5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'CLEANSTEP JULY 2025 (5)'!$A$5:$A$6</c:f>
              <c:strCache>
                <c:ptCount val="2"/>
                <c:pt idx="0">
                  <c:v>SHOP</c:v>
                </c:pt>
                <c:pt idx="1">
                  <c:v>THIRD PARTY </c:v>
                </c:pt>
              </c:strCache>
            </c:strRef>
          </c:cat>
          <c:val>
            <c:numRef>
              <c:f>'CLEANSTEP JULY 2025 (5)'!$B$5:$B$6</c:f>
              <c:numCache>
                <c:formatCode>"R"#,##0.00</c:formatCode>
                <c:ptCount val="2"/>
                <c:pt idx="0">
                  <c:v>38930</c:v>
                </c:pt>
                <c:pt idx="1">
                  <c:v>5027</c:v>
                </c:pt>
              </c:numCache>
            </c:numRef>
          </c:val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 xmlns:a="http://schemas.openxmlformats.org/drawingml/2006/main"/>
        <a:ln xmlns:a="http://schemas.openxmlformats.org/drawingml/2006/main">
          <a:noFill/>
        </a:ln>
      </c:spPr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noFill/>
    </a:ln>
  </c:spPr>
</c:chartSpace>
</file>

<file path=xl/drawings/charts/chart18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400" b="0" i="0" u="none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August 2026 Sales</a:t>
            </a:r>
          </a:p>
        </c:rich>
      </c:tx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400" b="0" i="0" u="none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view3D>
      <c:rotX val="30"/>
      <c:rotY val="0"/>
      <c:rAngAx val="0"/>
    </c:view3D>
    <c:plotArea>
      <c:pie3DChart>
        <c:ser>
          <c:idx val="0"/>
          <c:order val="0"/>
          <c:dPt>
            <c:idx val="0"/>
            <c:spPr>
              <a:solidFill xmlns:a="http://schemas.openxmlformats.org/drawingml/2006/main">
                <a:schemeClr val="accent6"/>
              </a:solidFill>
              <a:ln xmlns:a="http://schemas.openxmlformats.org/drawingml/2006/main" w="25400">
                <a:solidFill>
                  <a:schemeClr val="lt1"/>
                </a:solidFill>
              </a:ln>
            </c:spPr>
          </c:dPt>
          <c:dPt>
            <c:idx val="1"/>
            <c:spPr>
              <a:solidFill xmlns:a="http://schemas.openxmlformats.org/drawingml/2006/main">
                <a:schemeClr val="accent5"/>
              </a:solidFill>
              <a:ln xmlns:a="http://schemas.openxmlformats.org/drawingml/2006/main" w="25400">
                <a:solidFill>
                  <a:schemeClr val="lt1"/>
                </a:solidFill>
              </a:ln>
            </c:spPr>
          </c:dPt>
          <c:dPt>
            <c:idx val="2"/>
            <c:spPr>
              <a:solidFill xmlns:a="http://schemas.openxmlformats.org/drawingml/2006/main">
                <a:schemeClr val="accent4"/>
              </a:solidFill>
              <a:ln xmlns:a="http://schemas.openxmlformats.org/drawingml/2006/main" w="25400">
                <a:solidFill>
                  <a:schemeClr val="bg1"/>
                </a:solidFill>
              </a:ln>
            </c:spPr>
          </c:dPt>
          <c:dPt>
            <c:idx val="3"/>
            <c:spPr>
              <a:solidFill xmlns:a="http://schemas.openxmlformats.org/drawingml/2006/main">
                <a:schemeClr val="accent6">
                  <a:lumMod val="60000"/>
                </a:schemeClr>
              </a:solidFill>
              <a:ln xmlns:a="http://schemas.openxmlformats.org/drawingml/2006/main" w="25400">
                <a:solidFill>
                  <a:schemeClr val="lt1"/>
                </a:solidFill>
              </a:ln>
            </c:spPr>
          </c:dPt>
          <c:dLbls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000" b="1" i="0" u="none">
                    <a:solidFill>
                      <a:schemeClr val="tx1"/>
                    </a:solidFill>
                    <a:latin typeface="+mn-lt"/>
                    <a:ea typeface="+mn-lt"/>
                    <a:cs typeface="+mn-lt"/>
                  </a:defRPr>
                </a:pPr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'SHOP AUGUST 2025 (6)'!$I$8:$I$11</c:f>
              <c:strCache>
                <c:ptCount val="3"/>
                <c:pt idx="0">
                  <c:v>Footwear</c:v>
                </c:pt>
                <c:pt idx="1">
                  <c:v>Deep Cleaning</c:v>
                </c:pt>
                <c:pt idx="2">
                  <c:v>Print &amp; Retail</c:v>
                </c:pt>
              </c:strCache>
            </c:strRef>
          </c:cat>
          <c:val>
            <c:numRef>
              <c:f>'SHOP AUGUST 2025 (6)'!$J$8:$J$11</c:f>
              <c:numCache>
                <c:formatCode>"R"#,##0.00</c:formatCode>
                <c:ptCount val="4"/>
                <c:pt idx="0">
                  <c:v>22440</c:v>
                </c:pt>
                <c:pt idx="1">
                  <c:v>7050</c:v>
                </c:pt>
                <c:pt idx="2">
                  <c:v>16981</c:v>
                </c:pt>
              </c:numCache>
            </c:numRef>
          </c:val>
        </c:ser>
        <c:ser>
          <c:idx val="1"/>
          <c:order val="1"/>
          <c:dPt>
            <c:idx val="0"/>
            <c:spPr>
              <a:solidFill xmlns:a="http://schemas.openxmlformats.org/drawingml/2006/main">
                <a:schemeClr val="accent6"/>
              </a:solidFill>
              <a:ln xmlns:a="http://schemas.openxmlformats.org/drawingml/2006/main" w="25400">
                <a:solidFill>
                  <a:schemeClr val="lt1"/>
                </a:solidFill>
              </a:ln>
            </c:spPr>
          </c:dPt>
          <c:dPt>
            <c:idx val="1"/>
            <c:spPr>
              <a:solidFill xmlns:a="http://schemas.openxmlformats.org/drawingml/2006/main">
                <a:schemeClr val="accent5"/>
              </a:solidFill>
              <a:ln xmlns:a="http://schemas.openxmlformats.org/drawingml/2006/main" w="25400">
                <a:solidFill>
                  <a:schemeClr val="lt1"/>
                </a:solidFill>
              </a:ln>
            </c:spPr>
          </c:dPt>
          <c:dPt>
            <c:idx val="2"/>
            <c:spPr>
              <a:solidFill xmlns:a="http://schemas.openxmlformats.org/drawingml/2006/main">
                <a:schemeClr val="accent4"/>
              </a:solidFill>
              <a:ln xmlns:a="http://schemas.openxmlformats.org/drawingml/2006/main" w="25400">
                <a:solidFill>
                  <a:schemeClr val="lt1"/>
                </a:solidFill>
              </a:ln>
            </c:spPr>
          </c:dPt>
          <c:dPt>
            <c:idx val="3"/>
            <c:spPr>
              <a:solidFill xmlns:a="http://schemas.openxmlformats.org/drawingml/2006/main">
                <a:schemeClr val="accent6">
                  <a:lumMod val="60000"/>
                </a:schemeClr>
              </a:solidFill>
              <a:ln xmlns:a="http://schemas.openxmlformats.org/drawingml/2006/main" w="25400">
                <a:solidFill>
                  <a:schemeClr val="lt1"/>
                </a:solidFill>
              </a:ln>
            </c:spPr>
          </c:dPt>
          <c:dLbls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lt"/>
                    <a:cs typeface="+mn-lt"/>
                  </a:defRPr>
                </a:pPr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'SHOP AUGUST 2025 (6)'!$I$8:$I$11</c:f>
              <c:strCache>
                <c:ptCount val="3"/>
                <c:pt idx="0">
                  <c:v>Footwear</c:v>
                </c:pt>
                <c:pt idx="1">
                  <c:v>Deep Cleaning</c:v>
                </c:pt>
                <c:pt idx="2">
                  <c:v>Print &amp; Retail</c:v>
                </c:pt>
              </c:strCache>
            </c:strRef>
          </c:cat>
          <c:val>
            <c:numRef>
              <c:f>'SHOP AUGUST 2025 (6)'!$K$8:$K$11</c:f>
              <c:numCache>
                <c:formatCode>0%</c:formatCode>
                <c:ptCount val="4"/>
                <c:pt idx="0">
                  <c:v>0.48288179724989777</c:v>
                </c:pt>
                <c:pt idx="1">
                  <c:v>0.15170751651567643</c:v>
                </c:pt>
                <c:pt idx="2">
                  <c:v>0.3654106862344258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 xmlns:a="http://schemas.openxmlformats.org/drawingml/2006/main"/>
        <a:ln xmlns:a="http://schemas.openxmlformats.org/drawingml/2006/main">
          <a:noFill/>
        </a:ln>
      </c:spPr>
    </c:plotArea>
    <c:legend>
      <c:legendPos val="b"/>
      <c:overlay val="0"/>
      <c:spPr>
        <a:noFill xmlns:a="http://schemas.openxmlformats.org/drawingml/2006/main"/>
      </c:spPr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charts/chart19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600" b="1" i="0" u="none" cap="all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THIRD PARTY</a:t>
            </a:r>
          </a:p>
        </c:rich>
      </c:tx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600" b="1" i="0" u="none" cap="all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view3D>
      <c:rotX val="30"/>
      <c:rotY val="0"/>
      <c:rAngAx val="0"/>
    </c:view3D>
    <c:plotArea>
      <c:pie3DChart>
        <c:ser>
          <c:idx val="0"/>
          <c:order val="0"/>
          <c:dPt>
            <c:idx val="0"/>
            <c:spPr>
              <a:solidFill xmlns:a="http://schemas.openxmlformats.org/drawingml/2006/main">
                <a:schemeClr val="accent6"/>
              </a:solidFill>
              <a:ln xmlns:a="http://schemas.openxmlformats.org/drawingml/2006/main">
                <a:noFill/>
              </a:ln>
            </c:spPr>
          </c:dPt>
          <c:dPt>
            <c:idx val="1"/>
            <c:spPr>
              <a:solidFill xmlns:a="http://schemas.openxmlformats.org/drawingml/2006/main">
                <a:schemeClr val="accent5"/>
              </a:solidFill>
              <a:ln xmlns:a="http://schemas.openxmlformats.org/drawingml/2006/main">
                <a:noFill/>
              </a:ln>
            </c:spPr>
          </c:dPt>
          <c:dPt>
            <c:idx val="2"/>
            <c: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</a:ln>
            </c:spPr>
          </c:dPt>
          <c:dLbls>
            <c:dLbl>
              <c:idx val="0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1" i="0" u="none" spc="0">
                      <a:solidFill>
                        <a:schemeClr val="accent6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1" i="0" u="none" spc="0">
                      <a:solidFill>
                        <a:schemeClr val="accent5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2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1" i="0" u="none" spc="0">
                      <a:solidFill>
                        <a:schemeClr val="accent4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'THIRD PARTY AUGUST 2025 (6)'!$G$7:$G$9</c:f>
              <c:strCache>
                <c:ptCount val="3"/>
                <c:pt idx="0">
                  <c:v>Kitwe</c:v>
                </c:pt>
                <c:pt idx="1">
                  <c:v>Eldo</c:v>
                </c:pt>
                <c:pt idx="2">
                  <c:v>Clubview</c:v>
                </c:pt>
              </c:strCache>
            </c:strRef>
          </c:cat>
          <c:val>
            <c:numRef>
              <c:f>'THIRD PARTY AUGUST 2025 (6)'!$H$7:$H$9</c:f>
              <c:numCache>
                <c:formatCode>"R"#,##0.00</c:formatCode>
                <c:ptCount val="3"/>
                <c:pt idx="0">
                  <c:v>2570</c:v>
                </c:pt>
                <c:pt idx="1">
                  <c:v>1072</c:v>
                </c:pt>
                <c:pt idx="2">
                  <c:v>380</c:v>
                </c:pt>
              </c:numCache>
            </c:numRef>
          </c:val>
        </c:ser>
        <c:ser>
          <c:idx val="1"/>
          <c:order val="1"/>
          <c:dPt>
            <c:idx val="0"/>
            <c:spPr>
              <a:solidFill xmlns:a="http://schemas.openxmlformats.org/drawingml/2006/main">
                <a:schemeClr val="accent6"/>
              </a:solidFill>
              <a:ln xmlns:a="http://schemas.openxmlformats.org/drawingml/2006/main">
                <a:noFill/>
              </a:ln>
            </c:spPr>
          </c:dPt>
          <c:dPt>
            <c:idx val="1"/>
            <c:spPr>
              <a:solidFill xmlns:a="http://schemas.openxmlformats.org/drawingml/2006/main">
                <a:schemeClr val="accent5"/>
              </a:solidFill>
              <a:ln xmlns:a="http://schemas.openxmlformats.org/drawingml/2006/main">
                <a:noFill/>
              </a:ln>
            </c:spPr>
          </c:dPt>
          <c:dPt>
            <c:idx val="2"/>
            <c: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</a:ln>
            </c:spPr>
          </c:dPt>
          <c:dLbls>
            <c:dLbl>
              <c:idx val="0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1" i="0" u="none" spc="0">
                      <a:solidFill>
                        <a:schemeClr val="accent6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1" i="0" u="none" spc="0">
                      <a:solidFill>
                        <a:schemeClr val="accent5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2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1" i="0" u="none" spc="0">
                      <a:solidFill>
                        <a:schemeClr val="accent4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'THIRD PARTY AUGUST 2025 (6)'!$G$7:$G$9</c:f>
              <c:strCache>
                <c:ptCount val="3"/>
                <c:pt idx="0">
                  <c:v>Kitwe</c:v>
                </c:pt>
                <c:pt idx="1">
                  <c:v>Eldo</c:v>
                </c:pt>
                <c:pt idx="2">
                  <c:v>Clubview</c:v>
                </c:pt>
              </c:strCache>
            </c:strRef>
          </c:cat>
          <c:val>
            <c:numRef>
              <c:f>'THIRD PARTY AUGUST 2025 (6)'!$I$7:$I$9</c:f>
              <c:numCache>
                <c:formatCode>0%</c:formatCode>
                <c:ptCount val="3"/>
                <c:pt idx="0">
                  <c:v>0.6389855793137742</c:v>
                </c:pt>
                <c:pt idx="1">
                  <c:v>0.2665340626553953</c:v>
                </c:pt>
                <c:pt idx="2">
                  <c:v>0.09448035803083044</c:v>
                </c:pt>
              </c:numCache>
            </c:numRef>
          </c:val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 xmlns:a="http://schemas.openxmlformats.org/drawingml/2006/main"/>
        <a:ln xmlns:a="http://schemas.openxmlformats.org/drawingml/2006/main">
          <a:noFill/>
        </a:ln>
      </c:spPr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noFill/>
    </a:ln>
  </c:spPr>
</c:chartSpace>
</file>

<file path=xl/drawings/charts/chart20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1"/>
    <c:view3D>
      <c:rotX val="30"/>
      <c:rotY val="0"/>
      <c:rAngAx val="0"/>
    </c:view3D>
    <c:plotArea>
      <c:layout>
        <c:manualLayout>
          <c:layoutTarget val="inner"/>
          <c:xMode val="edge"/>
          <c:yMode val="edge"/>
          <c:x val="0.097916576878516"/>
          <c:y val="0.17709810760771394"/>
          <c:w val="0.804166846242968"/>
          <c:h val="0.7604022512815423"/>
        </c:manualLayout>
      </c:layout>
      <c:pie3DChart>
        <c:ser>
          <c:idx val="0"/>
          <c:order val="0"/>
          <c:dPt>
            <c:idx val="0"/>
            <c:spPr>
              <a:solidFill xmlns:a="http://schemas.openxmlformats.org/drawingml/2006/main">
                <a:schemeClr val="accent6"/>
              </a:solidFill>
              <a:ln xmlns:a="http://schemas.openxmlformats.org/drawingml/2006/main">
                <a:noFill/>
              </a:ln>
            </c:spPr>
          </c:dPt>
          <c:dPt>
            <c:idx val="1"/>
            <c:spPr>
              <a:solidFill xmlns:a="http://schemas.openxmlformats.org/drawingml/2006/main">
                <a:schemeClr val="accent5"/>
              </a:solidFill>
              <a:ln xmlns:a="http://schemas.openxmlformats.org/drawingml/2006/main">
                <a:noFill/>
              </a:ln>
            </c:spPr>
          </c:dPt>
          <c:dLbls>
            <c:dLbl>
              <c:idx val="0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1" i="0" u="none" spc="0">
                      <a:solidFill>
                        <a:schemeClr val="accent6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1" i="0" u="none" spc="0">
                      <a:solidFill>
                        <a:schemeClr val="accent5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'CLEANSTEP AUGUST 2025 (6)'!$A$5:$A$6</c:f>
              <c:strCache>
                <c:ptCount val="2"/>
                <c:pt idx="0">
                  <c:v>SHOP</c:v>
                </c:pt>
                <c:pt idx="1">
                  <c:v>THIRD PARTY </c:v>
                </c:pt>
              </c:strCache>
            </c:strRef>
          </c:cat>
          <c:val>
            <c:numRef>
              <c:f>'CLEANSTEP AUGUST 2025 (6)'!$B$5:$B$6</c:f>
              <c:numCache>
                <c:formatCode>"R"#,##0.00</c:formatCode>
                <c:ptCount val="2"/>
                <c:pt idx="0">
                  <c:v>46471</c:v>
                </c:pt>
                <c:pt idx="1">
                  <c:v>4022</c:v>
                </c:pt>
              </c:numCache>
            </c:numRef>
          </c:val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 xmlns:a="http://schemas.openxmlformats.org/drawingml/2006/main"/>
        <a:ln xmlns:a="http://schemas.openxmlformats.org/drawingml/2006/main">
          <a:noFill/>
        </a:ln>
      </c:spPr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noFill/>
    </a:ln>
  </c:spPr>
</c:chartSpace>
</file>

<file path=xl/drawings/charts/chart21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400" b="0" i="0" u="none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September 2026 Sales</a:t>
            </a:r>
          </a:p>
        </c:rich>
      </c:tx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400" b="0" i="0" u="none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view3D>
      <c:rotX val="30"/>
      <c:rotY val="0"/>
      <c:rAngAx val="0"/>
    </c:view3D>
    <c:plotArea>
      <c:pie3DChart>
        <c:ser>
          <c:idx val="0"/>
          <c:order val="0"/>
          <c:dPt>
            <c:idx val="0"/>
            <c:spPr>
              <a:solidFill xmlns:a="http://schemas.openxmlformats.org/drawingml/2006/main">
                <a:schemeClr val="accent6"/>
              </a:solidFill>
              <a:ln xmlns:a="http://schemas.openxmlformats.org/drawingml/2006/main" w="25400">
                <a:solidFill>
                  <a:schemeClr val="lt1"/>
                </a:solidFill>
              </a:ln>
            </c:spPr>
          </c:dPt>
          <c:dPt>
            <c:idx val="1"/>
            <c:spPr>
              <a:solidFill xmlns:a="http://schemas.openxmlformats.org/drawingml/2006/main">
                <a:schemeClr val="accent5"/>
              </a:solidFill>
              <a:ln xmlns:a="http://schemas.openxmlformats.org/drawingml/2006/main" w="25400">
                <a:solidFill>
                  <a:schemeClr val="lt1"/>
                </a:solidFill>
              </a:ln>
            </c:spPr>
          </c:dPt>
          <c:dPt>
            <c:idx val="2"/>
            <c:spPr>
              <a:solidFill xmlns:a="http://schemas.openxmlformats.org/drawingml/2006/main">
                <a:schemeClr val="accent4"/>
              </a:solidFill>
              <a:ln xmlns:a="http://schemas.openxmlformats.org/drawingml/2006/main" w="25400">
                <a:solidFill>
                  <a:schemeClr val="bg1"/>
                </a:solidFill>
              </a:ln>
            </c:spPr>
          </c:dPt>
          <c:dPt>
            <c:idx val="3"/>
            <c:spPr>
              <a:solidFill xmlns:a="http://schemas.openxmlformats.org/drawingml/2006/main">
                <a:schemeClr val="accent6">
                  <a:lumMod val="60000"/>
                </a:schemeClr>
              </a:solidFill>
              <a:ln xmlns:a="http://schemas.openxmlformats.org/drawingml/2006/main" w="25400">
                <a:solidFill>
                  <a:schemeClr val="lt1"/>
                </a:solidFill>
              </a:ln>
            </c:spPr>
          </c:dPt>
          <c:dLbls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000" b="1" i="0" u="none">
                    <a:solidFill>
                      <a:schemeClr val="tx1"/>
                    </a:solidFill>
                    <a:latin typeface="+mn-lt"/>
                    <a:ea typeface="+mn-lt"/>
                    <a:cs typeface="+mn-lt"/>
                  </a:defRPr>
                </a:pPr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'SHOP SEPTEMBER 2025 (7)'!$I$8:$I$11</c:f>
              <c:strCache>
                <c:ptCount val="3"/>
                <c:pt idx="0">
                  <c:v>Footwear</c:v>
                </c:pt>
                <c:pt idx="1">
                  <c:v>Deep Cleaning</c:v>
                </c:pt>
                <c:pt idx="2">
                  <c:v>Print &amp; Retail</c:v>
                </c:pt>
              </c:strCache>
            </c:strRef>
          </c:cat>
          <c:val>
            <c:numRef>
              <c:f>'SHOP SEPTEMBER 2025 (7)'!$J$8:$J$11</c:f>
              <c:numCache>
                <c:formatCode>"R"#,##0.00</c:formatCode>
                <c:ptCount val="4"/>
                <c:pt idx="0">
                  <c:v>25070</c:v>
                </c:pt>
                <c:pt idx="1">
                  <c:v>13340</c:v>
                </c:pt>
                <c:pt idx="2">
                  <c:v>5951</c:v>
                </c:pt>
              </c:numCache>
            </c:numRef>
          </c:val>
        </c:ser>
        <c:ser>
          <c:idx val="1"/>
          <c:order val="1"/>
          <c:dPt>
            <c:idx val="0"/>
            <c:spPr>
              <a:solidFill xmlns:a="http://schemas.openxmlformats.org/drawingml/2006/main">
                <a:schemeClr val="accent6"/>
              </a:solidFill>
              <a:ln xmlns:a="http://schemas.openxmlformats.org/drawingml/2006/main" w="25400">
                <a:solidFill>
                  <a:schemeClr val="lt1"/>
                </a:solidFill>
              </a:ln>
            </c:spPr>
          </c:dPt>
          <c:dPt>
            <c:idx val="1"/>
            <c:spPr>
              <a:solidFill xmlns:a="http://schemas.openxmlformats.org/drawingml/2006/main">
                <a:schemeClr val="accent5"/>
              </a:solidFill>
              <a:ln xmlns:a="http://schemas.openxmlformats.org/drawingml/2006/main" w="25400">
                <a:solidFill>
                  <a:schemeClr val="lt1"/>
                </a:solidFill>
              </a:ln>
            </c:spPr>
          </c:dPt>
          <c:dPt>
            <c:idx val="2"/>
            <c:spPr>
              <a:solidFill xmlns:a="http://schemas.openxmlformats.org/drawingml/2006/main">
                <a:schemeClr val="accent4"/>
              </a:solidFill>
              <a:ln xmlns:a="http://schemas.openxmlformats.org/drawingml/2006/main" w="25400">
                <a:solidFill>
                  <a:schemeClr val="lt1"/>
                </a:solidFill>
              </a:ln>
            </c:spPr>
          </c:dPt>
          <c:dPt>
            <c:idx val="3"/>
            <c:spPr>
              <a:solidFill xmlns:a="http://schemas.openxmlformats.org/drawingml/2006/main">
                <a:schemeClr val="accent6">
                  <a:lumMod val="60000"/>
                </a:schemeClr>
              </a:solidFill>
              <a:ln xmlns:a="http://schemas.openxmlformats.org/drawingml/2006/main" w="25400">
                <a:solidFill>
                  <a:schemeClr val="lt1"/>
                </a:solidFill>
              </a:ln>
            </c:spPr>
          </c:dPt>
          <c:dLbls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lt"/>
                    <a:cs typeface="+mn-lt"/>
                  </a:defRPr>
                </a:pPr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'SHOP SEPTEMBER 2025 (7)'!$I$8:$I$11</c:f>
              <c:strCache>
                <c:ptCount val="3"/>
                <c:pt idx="0">
                  <c:v>Footwear</c:v>
                </c:pt>
                <c:pt idx="1">
                  <c:v>Deep Cleaning</c:v>
                </c:pt>
                <c:pt idx="2">
                  <c:v>Print &amp; Retail</c:v>
                </c:pt>
              </c:strCache>
            </c:strRef>
          </c:cat>
          <c:val>
            <c:numRef>
              <c:f>'SHOP SEPTEMBER 2025 (7)'!$K$8:$K$11</c:f>
              <c:numCache>
                <c:formatCode>0%</c:formatCode>
                <c:ptCount val="4"/>
                <c:pt idx="0">
                  <c:v>0.5651360429205834</c:v>
                </c:pt>
                <c:pt idx="1">
                  <c:v>0.30071459164581504</c:v>
                </c:pt>
                <c:pt idx="2">
                  <c:v>0.1341493654336016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 xmlns:a="http://schemas.openxmlformats.org/drawingml/2006/main"/>
        <a:ln xmlns:a="http://schemas.openxmlformats.org/drawingml/2006/main">
          <a:noFill/>
        </a:ln>
      </c:spPr>
    </c:plotArea>
    <c:legend>
      <c:legendPos val="b"/>
      <c:overlay val="0"/>
      <c:spPr>
        <a:noFill xmlns:a="http://schemas.openxmlformats.org/drawingml/2006/main"/>
      </c:spPr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1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charts/chart22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600" b="1" i="0" u="none" cap="all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THIRD PARTY</a:t>
            </a:r>
          </a:p>
        </c:rich>
      </c:tx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600" b="1" i="0" u="none" cap="all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view3D>
      <c:rotX val="30"/>
      <c:rotY val="0"/>
      <c:rAngAx val="0"/>
    </c:view3D>
    <c:plotArea>
      <c:pie3DChart>
        <c:ser>
          <c:idx val="0"/>
          <c:order val="0"/>
          <c:dPt>
            <c:idx val="0"/>
            <c:spPr>
              <a:solidFill xmlns:a="http://schemas.openxmlformats.org/drawingml/2006/main">
                <a:schemeClr val="accent6"/>
              </a:solidFill>
              <a:ln xmlns:a="http://schemas.openxmlformats.org/drawingml/2006/main">
                <a:noFill/>
              </a:ln>
            </c:spPr>
          </c:dPt>
          <c:dPt>
            <c:idx val="1"/>
            <c:spPr>
              <a:solidFill xmlns:a="http://schemas.openxmlformats.org/drawingml/2006/main">
                <a:schemeClr val="accent5"/>
              </a:solidFill>
              <a:ln xmlns:a="http://schemas.openxmlformats.org/drawingml/2006/main">
                <a:noFill/>
              </a:ln>
            </c:spPr>
          </c:dPt>
          <c:dPt>
            <c:idx val="2"/>
            <c: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</a:ln>
            </c:spPr>
          </c:dPt>
          <c:dLbls>
            <c:dLbl>
              <c:idx val="0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1" i="0" u="none" spc="0">
                      <a:solidFill>
                        <a:schemeClr val="accent6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1" i="0" u="none" spc="0">
                      <a:solidFill>
                        <a:schemeClr val="accent5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2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1" i="0" u="none" spc="0">
                      <a:solidFill>
                        <a:schemeClr val="accent4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'THIRD PARTY SEPTEMBER 2025 (7)'!$G$7:$G$9</c:f>
              <c:strCache>
                <c:ptCount val="3"/>
                <c:pt idx="0">
                  <c:v>Kitwe</c:v>
                </c:pt>
                <c:pt idx="1">
                  <c:v>Eldo</c:v>
                </c:pt>
                <c:pt idx="2">
                  <c:v>Clubview</c:v>
                </c:pt>
              </c:strCache>
            </c:strRef>
          </c:cat>
          <c:val>
            <c:numRef>
              <c:f>'THIRD PARTY SEPTEMBER 2025 (7)'!$H$7:$H$9</c:f>
              <c:numCache>
                <c:formatCode>"R"#,##0.00</c:formatCode>
                <c:ptCount val="3"/>
                <c:pt idx="0">
                  <c:v>3290</c:v>
                </c:pt>
                <c:pt idx="1">
                  <c:v>610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dPt>
            <c:idx val="0"/>
            <c:spPr>
              <a:solidFill xmlns:a="http://schemas.openxmlformats.org/drawingml/2006/main">
                <a:schemeClr val="accent6"/>
              </a:solidFill>
              <a:ln xmlns:a="http://schemas.openxmlformats.org/drawingml/2006/main">
                <a:noFill/>
              </a:ln>
            </c:spPr>
          </c:dPt>
          <c:dPt>
            <c:idx val="1"/>
            <c:spPr>
              <a:solidFill xmlns:a="http://schemas.openxmlformats.org/drawingml/2006/main">
                <a:schemeClr val="accent5"/>
              </a:solidFill>
              <a:ln xmlns:a="http://schemas.openxmlformats.org/drawingml/2006/main">
                <a:noFill/>
              </a:ln>
            </c:spPr>
          </c:dPt>
          <c:dPt>
            <c:idx val="2"/>
            <c: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</a:ln>
            </c:spPr>
          </c:dPt>
          <c:dLbls>
            <c:dLbl>
              <c:idx val="0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1" i="0" u="none" spc="0">
                      <a:solidFill>
                        <a:schemeClr val="accent6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1" i="0" u="none" spc="0">
                      <a:solidFill>
                        <a:schemeClr val="accent5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2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1" i="0" u="none" spc="0">
                      <a:solidFill>
                        <a:schemeClr val="accent4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'THIRD PARTY SEPTEMBER 2025 (7)'!$G$7:$G$9</c:f>
              <c:strCache>
                <c:ptCount val="3"/>
                <c:pt idx="0">
                  <c:v>Kitwe</c:v>
                </c:pt>
                <c:pt idx="1">
                  <c:v>Eldo</c:v>
                </c:pt>
                <c:pt idx="2">
                  <c:v>Clubview</c:v>
                </c:pt>
              </c:strCache>
            </c:strRef>
          </c:cat>
          <c:val>
            <c:numRef>
              <c:f>'THIRD PARTY SEPTEMBER 2025 (7)'!$I$7:$I$9</c:f>
              <c:numCache>
                <c:formatCode>0%</c:formatCode>
                <c:ptCount val="3"/>
                <c:pt idx="0">
                  <c:v>0.8435897435897436</c:v>
                </c:pt>
                <c:pt idx="1">
                  <c:v>0.1564102564102564</c:v>
                </c:pt>
                <c:pt idx="2">
                  <c:v>0</c:v>
                </c:pt>
              </c:numCache>
            </c:numRef>
          </c:val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 xmlns:a="http://schemas.openxmlformats.org/drawingml/2006/main"/>
        <a:ln xmlns:a="http://schemas.openxmlformats.org/drawingml/2006/main">
          <a:noFill/>
        </a:ln>
      </c:spPr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noFill/>
    </a:ln>
  </c:spPr>
</c:chartSpace>
</file>

<file path=xl/drawings/charts/chart23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1"/>
    <c:view3D>
      <c:rotX val="30"/>
      <c:rotY val="0"/>
      <c:rAngAx val="0"/>
    </c:view3D>
    <c:plotArea>
      <c:layout>
        <c:manualLayout>
          <c:layoutTarget val="inner"/>
          <c:xMode val="edge"/>
          <c:yMode val="edge"/>
          <c:x val="0.097916576878516"/>
          <c:y val="0.17709810760771394"/>
          <c:w val="0.804166846242968"/>
          <c:h val="0.7604022512815423"/>
        </c:manualLayout>
      </c:layout>
      <c:pie3DChart>
        <c:ser>
          <c:idx val="0"/>
          <c:order val="0"/>
          <c:dPt>
            <c:idx val="0"/>
            <c:spPr>
              <a:solidFill xmlns:a="http://schemas.openxmlformats.org/drawingml/2006/main">
                <a:schemeClr val="accent6"/>
              </a:solidFill>
              <a:ln xmlns:a="http://schemas.openxmlformats.org/drawingml/2006/main">
                <a:noFill/>
              </a:ln>
            </c:spPr>
          </c:dPt>
          <c:dPt>
            <c:idx val="1"/>
            <c:spPr>
              <a:solidFill xmlns:a="http://schemas.openxmlformats.org/drawingml/2006/main">
                <a:schemeClr val="accent5"/>
              </a:solidFill>
              <a:ln xmlns:a="http://schemas.openxmlformats.org/drawingml/2006/main">
                <a:noFill/>
              </a:ln>
            </c:spPr>
          </c:dPt>
          <c:dLbls>
            <c:dLbl>
              <c:idx val="0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1" i="0" u="none" spc="0">
                      <a:solidFill>
                        <a:schemeClr val="accent6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1" i="0" u="none" spc="0">
                      <a:solidFill>
                        <a:schemeClr val="accent5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'CLEANSTEP SEPTEMBER 2025 (7)'!$A$5:$A$6</c:f>
              <c:strCache>
                <c:ptCount val="2"/>
                <c:pt idx="0">
                  <c:v>SHOP</c:v>
                </c:pt>
                <c:pt idx="1">
                  <c:v>THIRD PARTY </c:v>
                </c:pt>
              </c:strCache>
            </c:strRef>
          </c:cat>
          <c:val>
            <c:numRef>
              <c:f>'CLEANSTEP SEPTEMBER 2025 (7)'!$B$5:$B$6</c:f>
              <c:numCache>
                <c:formatCode>"R"#,##0.00</c:formatCode>
                <c:ptCount val="2"/>
                <c:pt idx="0">
                  <c:v>44361</c:v>
                </c:pt>
                <c:pt idx="1">
                  <c:v>3900</c:v>
                </c:pt>
              </c:numCache>
            </c:numRef>
          </c:val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 xmlns:a="http://schemas.openxmlformats.org/drawingml/2006/main"/>
        <a:ln xmlns:a="http://schemas.openxmlformats.org/drawingml/2006/main">
          <a:noFill/>
        </a:ln>
      </c:spPr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noFill/>
    </a:ln>
  </c:spPr>
</c:chartSpace>
</file>

<file path=xl/drawings/charts/chart24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400" b="0" i="0" u="none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October 2026 Sales</a:t>
            </a:r>
          </a:p>
        </c:rich>
      </c:tx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400" b="0" i="0" u="none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view3D>
      <c:rotX val="30"/>
      <c:rotY val="0"/>
      <c:rAngAx val="0"/>
    </c:view3D>
    <c:plotArea>
      <c:pie3DChart>
        <c:ser>
          <c:idx val="0"/>
          <c:order val="0"/>
          <c:dPt>
            <c:idx val="0"/>
            <c:spPr>
              <a:solidFill xmlns:a="http://schemas.openxmlformats.org/drawingml/2006/main">
                <a:schemeClr val="accent6"/>
              </a:solidFill>
              <a:ln xmlns:a="http://schemas.openxmlformats.org/drawingml/2006/main" w="25400">
                <a:solidFill>
                  <a:schemeClr val="lt1"/>
                </a:solidFill>
              </a:ln>
            </c:spPr>
          </c:dPt>
          <c:dPt>
            <c:idx val="1"/>
            <c:spPr>
              <a:solidFill xmlns:a="http://schemas.openxmlformats.org/drawingml/2006/main">
                <a:schemeClr val="accent5"/>
              </a:solidFill>
              <a:ln xmlns:a="http://schemas.openxmlformats.org/drawingml/2006/main" w="25400">
                <a:solidFill>
                  <a:schemeClr val="lt1"/>
                </a:solidFill>
              </a:ln>
            </c:spPr>
          </c:dPt>
          <c:dPt>
            <c:idx val="2"/>
            <c:spPr>
              <a:solidFill xmlns:a="http://schemas.openxmlformats.org/drawingml/2006/main">
                <a:schemeClr val="accent4"/>
              </a:solidFill>
              <a:ln xmlns:a="http://schemas.openxmlformats.org/drawingml/2006/main" w="25400">
                <a:solidFill>
                  <a:schemeClr val="bg1"/>
                </a:solidFill>
              </a:ln>
            </c:spPr>
          </c:dPt>
          <c:dPt>
            <c:idx val="3"/>
            <c:spPr>
              <a:solidFill xmlns:a="http://schemas.openxmlformats.org/drawingml/2006/main">
                <a:schemeClr val="accent6">
                  <a:lumMod val="60000"/>
                </a:schemeClr>
              </a:solidFill>
              <a:ln xmlns:a="http://schemas.openxmlformats.org/drawingml/2006/main" w="25400">
                <a:solidFill>
                  <a:schemeClr val="lt1"/>
                </a:solidFill>
              </a:ln>
            </c:spPr>
          </c:dPt>
          <c:dLbls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000" b="1" i="0" u="none">
                    <a:solidFill>
                      <a:schemeClr val="tx1"/>
                    </a:solidFill>
                    <a:latin typeface="+mn-lt"/>
                    <a:ea typeface="+mn-lt"/>
                    <a:cs typeface="+mn-lt"/>
                  </a:defRPr>
                </a:pPr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'SHOP OCTOBER 2025 (8)'!$I$8:$I$11</c:f>
              <c:strCache>
                <c:ptCount val="3"/>
                <c:pt idx="0">
                  <c:v>Footwear</c:v>
                </c:pt>
                <c:pt idx="1">
                  <c:v>Deep Cleaning</c:v>
                </c:pt>
                <c:pt idx="2">
                  <c:v>Print &amp; Retail</c:v>
                </c:pt>
              </c:strCache>
            </c:strRef>
          </c:cat>
          <c:val>
            <c:numRef>
              <c:f>'SHOP OCTOBER 2025 (8)'!$J$8:$J$11</c:f>
              <c:numCache>
                <c:formatCode>"R"#,##0.00</c:formatCode>
                <c:ptCount val="4"/>
                <c:pt idx="0">
                  <c:v>14160</c:v>
                </c:pt>
                <c:pt idx="1">
                  <c:v>6040</c:v>
                </c:pt>
                <c:pt idx="2">
                  <c:v>8164.8</c:v>
                </c:pt>
              </c:numCache>
            </c:numRef>
          </c:val>
        </c:ser>
        <c:ser>
          <c:idx val="1"/>
          <c:order val="1"/>
          <c:dPt>
            <c:idx val="0"/>
            <c:spPr>
              <a:solidFill xmlns:a="http://schemas.openxmlformats.org/drawingml/2006/main">
                <a:schemeClr val="accent6"/>
              </a:solidFill>
              <a:ln xmlns:a="http://schemas.openxmlformats.org/drawingml/2006/main" w="25400">
                <a:solidFill>
                  <a:schemeClr val="lt1"/>
                </a:solidFill>
              </a:ln>
            </c:spPr>
          </c:dPt>
          <c:dPt>
            <c:idx val="1"/>
            <c:spPr>
              <a:solidFill xmlns:a="http://schemas.openxmlformats.org/drawingml/2006/main">
                <a:schemeClr val="accent5"/>
              </a:solidFill>
              <a:ln xmlns:a="http://schemas.openxmlformats.org/drawingml/2006/main" w="25400">
                <a:solidFill>
                  <a:schemeClr val="lt1"/>
                </a:solidFill>
              </a:ln>
            </c:spPr>
          </c:dPt>
          <c:dPt>
            <c:idx val="2"/>
            <c:spPr>
              <a:solidFill xmlns:a="http://schemas.openxmlformats.org/drawingml/2006/main">
                <a:schemeClr val="accent4"/>
              </a:solidFill>
              <a:ln xmlns:a="http://schemas.openxmlformats.org/drawingml/2006/main" w="25400">
                <a:solidFill>
                  <a:schemeClr val="lt1"/>
                </a:solidFill>
              </a:ln>
            </c:spPr>
          </c:dPt>
          <c:dPt>
            <c:idx val="3"/>
            <c:spPr>
              <a:solidFill xmlns:a="http://schemas.openxmlformats.org/drawingml/2006/main">
                <a:schemeClr val="accent6">
                  <a:lumMod val="60000"/>
                </a:schemeClr>
              </a:solidFill>
              <a:ln xmlns:a="http://schemas.openxmlformats.org/drawingml/2006/main" w="25400">
                <a:solidFill>
                  <a:schemeClr val="lt1"/>
                </a:solidFill>
              </a:ln>
            </c:spPr>
          </c:dPt>
          <c:dLbls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lt"/>
                    <a:cs typeface="+mn-lt"/>
                  </a:defRPr>
                </a:pPr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'SHOP OCTOBER 2025 (8)'!$I$8:$I$11</c:f>
              <c:strCache>
                <c:ptCount val="3"/>
                <c:pt idx="0">
                  <c:v>Footwear</c:v>
                </c:pt>
                <c:pt idx="1">
                  <c:v>Deep Cleaning</c:v>
                </c:pt>
                <c:pt idx="2">
                  <c:v>Print &amp; Retail</c:v>
                </c:pt>
              </c:strCache>
            </c:strRef>
          </c:cat>
          <c:val>
            <c:numRef>
              <c:f>'SHOP OCTOBER 2025 (8)'!$K$8:$K$11</c:f>
              <c:numCache>
                <c:formatCode>0%</c:formatCode>
                <c:ptCount val="4"/>
                <c:pt idx="0">
                  <c:v>0.4992102888086642</c:v>
                </c:pt>
                <c:pt idx="1">
                  <c:v>0.21293998194945846</c:v>
                </c:pt>
                <c:pt idx="2">
                  <c:v>0.28784972924187724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 xmlns:a="http://schemas.openxmlformats.org/drawingml/2006/main"/>
        <a:ln xmlns:a="http://schemas.openxmlformats.org/drawingml/2006/main">
          <a:noFill/>
        </a:ln>
      </c:spPr>
    </c:plotArea>
    <c:legend>
      <c:legendPos val="b"/>
      <c:overlay val="0"/>
      <c:spPr>
        <a:noFill xmlns:a="http://schemas.openxmlformats.org/drawingml/2006/main"/>
      </c:spPr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charts/chart25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600" b="1" i="0" u="none" cap="all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THIRD PARTY</a:t>
            </a:r>
          </a:p>
        </c:rich>
      </c:tx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600" b="1" i="0" u="none" cap="all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view3D>
      <c:rotX val="30"/>
      <c:rotY val="0"/>
      <c:rAngAx val="0"/>
    </c:view3D>
    <c:plotArea>
      <c:pie3DChart>
        <c:ser>
          <c:idx val="0"/>
          <c:order val="0"/>
          <c:dPt>
            <c:idx val="0"/>
            <c:spPr>
              <a:solidFill xmlns:a="http://schemas.openxmlformats.org/drawingml/2006/main">
                <a:schemeClr val="accent6"/>
              </a:solidFill>
              <a:ln xmlns:a="http://schemas.openxmlformats.org/drawingml/2006/main">
                <a:noFill/>
              </a:ln>
            </c:spPr>
          </c:dPt>
          <c:dPt>
            <c:idx val="1"/>
            <c:spPr>
              <a:solidFill xmlns:a="http://schemas.openxmlformats.org/drawingml/2006/main">
                <a:schemeClr val="accent5"/>
              </a:solidFill>
              <a:ln xmlns:a="http://schemas.openxmlformats.org/drawingml/2006/main">
                <a:noFill/>
              </a:ln>
            </c:spPr>
          </c:dPt>
          <c:dPt>
            <c:idx val="2"/>
            <c: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</a:ln>
            </c:spPr>
          </c:dPt>
          <c:dPt>
            <c:idx val="3"/>
            <c:spPr>
              <a:solidFill xmlns:a="http://schemas.openxmlformats.org/drawingml/2006/main">
                <a:schemeClr val="accent6">
                  <a:lumMod val="60000"/>
                </a:schemeClr>
              </a:solidFill>
              <a:ln xmlns:a="http://schemas.openxmlformats.org/drawingml/2006/main">
                <a:noFill/>
              </a:ln>
            </c:spPr>
          </c:dPt>
          <c:dLbls>
            <c:dLbl>
              <c:idx val="0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1" i="0" u="none" spc="0">
                      <a:solidFill>
                        <a:schemeClr val="accent6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1" i="0" u="none" spc="0">
                      <a:solidFill>
                        <a:schemeClr val="accent5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2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1" i="0" u="none" spc="0">
                      <a:solidFill>
                        <a:schemeClr val="accent4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3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1" i="0" u="none" spc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'THIRD PARTY OCTOBER 2025 (8)'!$H$7:$H$10</c:f>
              <c:strCache>
                <c:ptCount val="4"/>
                <c:pt idx="0">
                  <c:v>Kitwe</c:v>
                </c:pt>
                <c:pt idx="1">
                  <c:v>Eldo</c:v>
                </c:pt>
                <c:pt idx="2">
                  <c:v>Clubview</c:v>
                </c:pt>
                <c:pt idx="3">
                  <c:v>Love Laundry</c:v>
                </c:pt>
              </c:strCache>
            </c:strRef>
          </c:cat>
          <c:val>
            <c:numRef>
              <c:f>'THIRD PARTY OCTOBER 2025 (8)'!$I$7:$I$10</c:f>
              <c:numCache>
                <c:formatCode>"R"#,##0.00</c:formatCode>
                <c:ptCount val="4"/>
                <c:pt idx="0">
                  <c:v>1860</c:v>
                </c:pt>
                <c:pt idx="1">
                  <c:v>2370</c:v>
                </c:pt>
                <c:pt idx="2">
                  <c:v>1140</c:v>
                </c:pt>
                <c:pt idx="3">
                  <c:v>780</c:v>
                </c:pt>
              </c:numCache>
            </c:numRef>
          </c:val>
        </c:ser>
        <c:ser>
          <c:idx val="1"/>
          <c:order val="1"/>
          <c:dPt>
            <c:idx val="0"/>
            <c:spPr>
              <a:solidFill xmlns:a="http://schemas.openxmlformats.org/drawingml/2006/main">
                <a:schemeClr val="accent6"/>
              </a:solidFill>
              <a:ln xmlns:a="http://schemas.openxmlformats.org/drawingml/2006/main">
                <a:noFill/>
              </a:ln>
            </c:spPr>
          </c:dPt>
          <c:dPt>
            <c:idx val="1"/>
            <c:spPr>
              <a:solidFill xmlns:a="http://schemas.openxmlformats.org/drawingml/2006/main">
                <a:schemeClr val="accent5"/>
              </a:solidFill>
              <a:ln xmlns:a="http://schemas.openxmlformats.org/drawingml/2006/main">
                <a:noFill/>
              </a:ln>
            </c:spPr>
          </c:dPt>
          <c:dPt>
            <c:idx val="2"/>
            <c: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</a:ln>
            </c:spPr>
          </c:dPt>
          <c:dLbls>
            <c:dLbl>
              <c:idx val="0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1" i="0" u="none" spc="0">
                      <a:solidFill>
                        <a:schemeClr val="accent6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1" i="0" u="none" spc="0">
                      <a:solidFill>
                        <a:schemeClr val="accent5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2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1" i="0" u="none" spc="0">
                      <a:solidFill>
                        <a:schemeClr val="accent4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'THIRD PARTY OCTOBER 2025 (8)'!$H$7:$H$10</c:f>
              <c:strCache>
                <c:ptCount val="4"/>
                <c:pt idx="0">
                  <c:v>Kitwe</c:v>
                </c:pt>
                <c:pt idx="1">
                  <c:v>Eldo</c:v>
                </c:pt>
                <c:pt idx="2">
                  <c:v>Clubview</c:v>
                </c:pt>
                <c:pt idx="3">
                  <c:v>Love Laundry</c:v>
                </c:pt>
              </c:strCache>
            </c:strRef>
          </c:cat>
          <c:val>
            <c:numRef>
              <c:f>'THIRD PARTY OCTOBER 2025 (8)'!$J$7:$J$9</c:f>
              <c:numCache>
                <c:formatCode>0%</c:formatCode>
                <c:ptCount val="3"/>
                <c:pt idx="0">
                  <c:v>0.3024390243902439</c:v>
                </c:pt>
                <c:pt idx="1">
                  <c:v>0.3853658536585366</c:v>
                </c:pt>
                <c:pt idx="2">
                  <c:v>0.18536585365853658</c:v>
                </c:pt>
              </c:numCache>
            </c:numRef>
          </c:val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 xmlns:a="http://schemas.openxmlformats.org/drawingml/2006/main"/>
        <a:ln xmlns:a="http://schemas.openxmlformats.org/drawingml/2006/main">
          <a:noFill/>
        </a:ln>
      </c:spPr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noFill/>
    </a:ln>
  </c:spPr>
</c:chartSpace>
</file>

<file path=xl/drawings/charts/chart26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1"/>
    <c:view3D>
      <c:rotX val="30"/>
      <c:rotY val="0"/>
      <c:rAngAx val="0"/>
    </c:view3D>
    <c:plotArea>
      <c:layout>
        <c:manualLayout>
          <c:layoutTarget val="inner"/>
          <c:xMode val="edge"/>
          <c:yMode val="edge"/>
          <c:x val="0.097916576878516"/>
          <c:y val="0.17709810760771394"/>
          <c:w val="0.804166846242968"/>
          <c:h val="0.7604022512815423"/>
        </c:manualLayout>
      </c:layout>
      <c:pie3DChart>
        <c:ser>
          <c:idx val="0"/>
          <c:order val="0"/>
          <c:dPt>
            <c:idx val="0"/>
            <c:spPr>
              <a:solidFill xmlns:a="http://schemas.openxmlformats.org/drawingml/2006/main">
                <a:schemeClr val="accent6"/>
              </a:solidFill>
              <a:ln xmlns:a="http://schemas.openxmlformats.org/drawingml/2006/main">
                <a:noFill/>
              </a:ln>
            </c:spPr>
          </c:dPt>
          <c:dPt>
            <c:idx val="1"/>
            <c:spPr>
              <a:solidFill xmlns:a="http://schemas.openxmlformats.org/drawingml/2006/main">
                <a:schemeClr val="accent5"/>
              </a:solidFill>
              <a:ln xmlns:a="http://schemas.openxmlformats.org/drawingml/2006/main">
                <a:noFill/>
              </a:ln>
            </c:spPr>
          </c:dPt>
          <c:dLbls>
            <c:dLbl>
              <c:idx val="0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1" i="0" u="none" spc="0">
                      <a:solidFill>
                        <a:schemeClr val="accent6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1" i="0" u="none" spc="0">
                      <a:solidFill>
                        <a:schemeClr val="accent5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'CLEANSTEP OCTOBER 2025 (8)'!$A$5:$A$6</c:f>
              <c:strCache>
                <c:ptCount val="2"/>
                <c:pt idx="0">
                  <c:v>SHOP</c:v>
                </c:pt>
                <c:pt idx="1">
                  <c:v>THIRD PARTY </c:v>
                </c:pt>
              </c:strCache>
            </c:strRef>
          </c:cat>
          <c:val>
            <c:numRef>
              <c:f>'CLEANSTEP OCTOBER 2025 (8)'!$B$5:$B$6</c:f>
              <c:numCache>
                <c:formatCode>"R"#,##0.00</c:formatCode>
                <c:ptCount val="2"/>
                <c:pt idx="0">
                  <c:v>28364.800000000003</c:v>
                </c:pt>
                <c:pt idx="1">
                  <c:v>6150</c:v>
                </c:pt>
              </c:numCache>
            </c:numRef>
          </c:val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 xmlns:a="http://schemas.openxmlformats.org/drawingml/2006/main"/>
        <a:ln xmlns:a="http://schemas.openxmlformats.org/drawingml/2006/main">
          <a:noFill/>
        </a:ln>
      </c:spPr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noFill/>
    </a:ln>
  </c:spPr>
</c:chartSpace>
</file>

<file path=xl/drawings/charts/chart27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400" b="0" i="0" u="none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November 2026 Sales</a:t>
            </a:r>
          </a:p>
        </c:rich>
      </c:tx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400" b="0" i="0" u="none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view3D>
      <c:rotX val="30"/>
      <c:rotY val="0"/>
      <c:rAngAx val="0"/>
    </c:view3D>
    <c:plotArea>
      <c:pie3DChart>
        <c:ser>
          <c:idx val="0"/>
          <c:order val="0"/>
          <c:dPt>
            <c:idx val="0"/>
            <c:spPr>
              <a:solidFill xmlns:a="http://schemas.openxmlformats.org/drawingml/2006/main">
                <a:schemeClr val="accent6"/>
              </a:solidFill>
              <a:ln xmlns:a="http://schemas.openxmlformats.org/drawingml/2006/main" w="25400">
                <a:solidFill>
                  <a:schemeClr val="lt1"/>
                </a:solidFill>
              </a:ln>
            </c:spPr>
          </c:dPt>
          <c:dPt>
            <c:idx val="1"/>
            <c:spPr>
              <a:solidFill xmlns:a="http://schemas.openxmlformats.org/drawingml/2006/main">
                <a:schemeClr val="accent5"/>
              </a:solidFill>
              <a:ln xmlns:a="http://schemas.openxmlformats.org/drawingml/2006/main" w="25400">
                <a:solidFill>
                  <a:schemeClr val="lt1"/>
                </a:solidFill>
              </a:ln>
            </c:spPr>
          </c:dPt>
          <c:dPt>
            <c:idx val="2"/>
            <c:spPr>
              <a:solidFill xmlns:a="http://schemas.openxmlformats.org/drawingml/2006/main">
                <a:schemeClr val="accent4"/>
              </a:solidFill>
              <a:ln xmlns:a="http://schemas.openxmlformats.org/drawingml/2006/main" w="25400">
                <a:solidFill>
                  <a:schemeClr val="bg1"/>
                </a:solidFill>
              </a:ln>
            </c:spPr>
          </c:dPt>
          <c:dPt>
            <c:idx val="3"/>
            <c:spPr>
              <a:solidFill xmlns:a="http://schemas.openxmlformats.org/drawingml/2006/main">
                <a:schemeClr val="accent6">
                  <a:lumMod val="60000"/>
                </a:schemeClr>
              </a:solidFill>
              <a:ln xmlns:a="http://schemas.openxmlformats.org/drawingml/2006/main" w="25400">
                <a:solidFill>
                  <a:schemeClr val="lt1"/>
                </a:solidFill>
              </a:ln>
            </c:spPr>
          </c:dPt>
          <c:dLbls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000" b="1" i="0" u="none">
                    <a:solidFill>
                      <a:schemeClr val="tx1"/>
                    </a:solidFill>
                    <a:latin typeface="+mn-lt"/>
                    <a:ea typeface="+mn-lt"/>
                    <a:cs typeface="+mn-lt"/>
                  </a:defRPr>
                </a:pPr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'SHOP NOVEMBER 2025 (9)'!$I$8:$I$11</c:f>
              <c:strCache>
                <c:ptCount val="3"/>
                <c:pt idx="0">
                  <c:v>Footwear</c:v>
                </c:pt>
                <c:pt idx="1">
                  <c:v>Deep Cleaning</c:v>
                </c:pt>
                <c:pt idx="2">
                  <c:v>Print &amp; Retail</c:v>
                </c:pt>
              </c:strCache>
            </c:strRef>
          </c:cat>
          <c:val>
            <c:numRef>
              <c:f>'SHOP NOVEMBER 2025 (9)'!$J$8:$J$11</c:f>
              <c:numCache>
                <c:formatCode>"R"#,##0.00</c:formatCode>
                <c:ptCount val="4"/>
                <c:pt idx="0">
                  <c:v>10330</c:v>
                </c:pt>
                <c:pt idx="1">
                  <c:v>4260</c:v>
                </c:pt>
                <c:pt idx="2">
                  <c:v>56879.75</c:v>
                </c:pt>
              </c:numCache>
            </c:numRef>
          </c:val>
        </c:ser>
        <c:ser>
          <c:idx val="1"/>
          <c:order val="1"/>
          <c:dPt>
            <c:idx val="0"/>
            <c:spPr>
              <a:solidFill xmlns:a="http://schemas.openxmlformats.org/drawingml/2006/main">
                <a:schemeClr val="accent6"/>
              </a:solidFill>
              <a:ln xmlns:a="http://schemas.openxmlformats.org/drawingml/2006/main" w="25400">
                <a:solidFill>
                  <a:schemeClr val="lt1"/>
                </a:solidFill>
              </a:ln>
            </c:spPr>
          </c:dPt>
          <c:dPt>
            <c:idx val="1"/>
            <c:spPr>
              <a:solidFill xmlns:a="http://schemas.openxmlformats.org/drawingml/2006/main">
                <a:schemeClr val="accent5"/>
              </a:solidFill>
              <a:ln xmlns:a="http://schemas.openxmlformats.org/drawingml/2006/main" w="25400">
                <a:solidFill>
                  <a:schemeClr val="lt1"/>
                </a:solidFill>
              </a:ln>
            </c:spPr>
          </c:dPt>
          <c:dPt>
            <c:idx val="2"/>
            <c:spPr>
              <a:solidFill xmlns:a="http://schemas.openxmlformats.org/drawingml/2006/main">
                <a:schemeClr val="accent4"/>
              </a:solidFill>
              <a:ln xmlns:a="http://schemas.openxmlformats.org/drawingml/2006/main" w="25400">
                <a:solidFill>
                  <a:schemeClr val="lt1"/>
                </a:solidFill>
              </a:ln>
            </c:spPr>
          </c:dPt>
          <c:dPt>
            <c:idx val="3"/>
            <c:spPr>
              <a:solidFill xmlns:a="http://schemas.openxmlformats.org/drawingml/2006/main">
                <a:schemeClr val="accent6">
                  <a:lumMod val="60000"/>
                </a:schemeClr>
              </a:solidFill>
              <a:ln xmlns:a="http://schemas.openxmlformats.org/drawingml/2006/main" w="25400">
                <a:solidFill>
                  <a:schemeClr val="lt1"/>
                </a:solidFill>
              </a:ln>
            </c:spPr>
          </c:dPt>
          <c:dLbls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lt"/>
                    <a:cs typeface="+mn-lt"/>
                  </a:defRPr>
                </a:pPr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'SHOP NOVEMBER 2025 (9)'!$I$8:$I$11</c:f>
              <c:strCache>
                <c:ptCount val="3"/>
                <c:pt idx="0">
                  <c:v>Footwear</c:v>
                </c:pt>
                <c:pt idx="1">
                  <c:v>Deep Cleaning</c:v>
                </c:pt>
                <c:pt idx="2">
                  <c:v>Print &amp; Retail</c:v>
                </c:pt>
              </c:strCache>
            </c:strRef>
          </c:cat>
          <c:val>
            <c:numRef>
              <c:f>'SHOP NOVEMBER 2025 (9)'!$K$8:$K$11</c:f>
              <c:numCache>
                <c:formatCode>0%</c:formatCode>
                <c:ptCount val="4"/>
                <c:pt idx="0">
                  <c:v>0.14453667460708902</c:v>
                </c:pt>
                <c:pt idx="1">
                  <c:v>0.059605637350067686</c:v>
                </c:pt>
                <c:pt idx="2">
                  <c:v>0.7958576880428433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 xmlns:a="http://schemas.openxmlformats.org/drawingml/2006/main"/>
        <a:ln xmlns:a="http://schemas.openxmlformats.org/drawingml/2006/main">
          <a:noFill/>
        </a:ln>
      </c:spPr>
    </c:plotArea>
    <c:legend>
      <c:legendPos val="b"/>
      <c:overlay val="0"/>
      <c:spPr>
        <a:noFill xmlns:a="http://schemas.openxmlformats.org/drawingml/2006/main"/>
      </c:spPr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charts/chart28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600" b="1" i="0" u="none" cap="all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THIRD PARTY</a:t>
            </a:r>
          </a:p>
        </c:rich>
      </c:tx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600" b="1" i="0" u="none" cap="all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view3D>
      <c:rotX val="30"/>
      <c:rotY val="0"/>
      <c:rAngAx val="0"/>
    </c:view3D>
    <c:plotArea>
      <c:pie3DChart>
        <c:ser>
          <c:idx val="0"/>
          <c:order val="0"/>
          <c:dPt>
            <c:idx val="0"/>
            <c:spPr>
              <a:solidFill xmlns:a="http://schemas.openxmlformats.org/drawingml/2006/main">
                <a:schemeClr val="accent6"/>
              </a:solidFill>
              <a:ln xmlns:a="http://schemas.openxmlformats.org/drawingml/2006/main">
                <a:noFill/>
              </a:ln>
            </c:spPr>
          </c:dPt>
          <c:dPt>
            <c:idx val="1"/>
            <c:spPr>
              <a:solidFill xmlns:a="http://schemas.openxmlformats.org/drawingml/2006/main">
                <a:schemeClr val="accent5"/>
              </a:solidFill>
              <a:ln xmlns:a="http://schemas.openxmlformats.org/drawingml/2006/main">
                <a:noFill/>
              </a:ln>
            </c:spPr>
          </c:dPt>
          <c:dPt>
            <c:idx val="2"/>
            <c: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</a:ln>
            </c:spPr>
          </c:dPt>
          <c:dPt>
            <c:idx val="3"/>
            <c:spPr>
              <a:solidFill xmlns:a="http://schemas.openxmlformats.org/drawingml/2006/main">
                <a:schemeClr val="accent6">
                  <a:lumMod val="60000"/>
                </a:schemeClr>
              </a:solidFill>
              <a:ln xmlns:a="http://schemas.openxmlformats.org/drawingml/2006/main">
                <a:noFill/>
              </a:ln>
            </c:spPr>
          </c:dPt>
          <c:dLbls>
            <c:dLbl>
              <c:idx val="0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1" i="0" u="none" spc="0">
                      <a:solidFill>
                        <a:schemeClr val="accent6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1" i="0" u="none" spc="0">
                      <a:solidFill>
                        <a:schemeClr val="accent5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2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1" i="0" u="none" spc="0">
                      <a:solidFill>
                        <a:schemeClr val="accent4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3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1" i="0" u="none" spc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'THIRD PARTY NOVEMBER 2025 (9)'!$H$7:$H$10</c:f>
              <c:strCache>
                <c:ptCount val="4"/>
                <c:pt idx="0">
                  <c:v>Kitwe</c:v>
                </c:pt>
                <c:pt idx="1">
                  <c:v>Eldo</c:v>
                </c:pt>
                <c:pt idx="2">
                  <c:v>Clubview</c:v>
                </c:pt>
                <c:pt idx="3">
                  <c:v>Love Laundry</c:v>
                </c:pt>
              </c:strCache>
            </c:strRef>
          </c:cat>
          <c:val>
            <c:numRef>
              <c:f>'THIRD PARTY NOVEMBER 2025 (9)'!$I$7:$I$10</c:f>
              <c:numCache>
                <c:formatCode>"R"#,##0.00</c:formatCode>
                <c:ptCount val="4"/>
                <c:pt idx="0">
                  <c:v>1120</c:v>
                </c:pt>
                <c:pt idx="1">
                  <c:v>550</c:v>
                </c:pt>
                <c:pt idx="2">
                  <c:v>1400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dPt>
            <c:idx val="0"/>
            <c:spPr>
              <a:solidFill xmlns:a="http://schemas.openxmlformats.org/drawingml/2006/main">
                <a:schemeClr val="accent6"/>
              </a:solidFill>
              <a:ln xmlns:a="http://schemas.openxmlformats.org/drawingml/2006/main">
                <a:noFill/>
              </a:ln>
            </c:spPr>
          </c:dPt>
          <c:dPt>
            <c:idx val="1"/>
            <c:spPr>
              <a:solidFill xmlns:a="http://schemas.openxmlformats.org/drawingml/2006/main">
                <a:schemeClr val="accent5"/>
              </a:solidFill>
              <a:ln xmlns:a="http://schemas.openxmlformats.org/drawingml/2006/main">
                <a:noFill/>
              </a:ln>
            </c:spPr>
          </c:dPt>
          <c:dPt>
            <c:idx val="2"/>
            <c: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</a:ln>
            </c:spPr>
          </c:dPt>
          <c:dPt>
            <c:idx val="3"/>
            <c:spPr>
              <a:solidFill xmlns:a="http://schemas.openxmlformats.org/drawingml/2006/main">
                <a:schemeClr val="accent6">
                  <a:lumMod val="60000"/>
                </a:schemeClr>
              </a:solidFill>
              <a:ln xmlns:a="http://schemas.openxmlformats.org/drawingml/2006/main">
                <a:noFill/>
              </a:ln>
            </c:spPr>
          </c:dPt>
          <c:dLbls>
            <c:dLbl>
              <c:idx val="0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1" i="0" u="none" spc="0">
                      <a:solidFill>
                        <a:schemeClr val="accent6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1" i="0" u="none" spc="0">
                      <a:solidFill>
                        <a:schemeClr val="accent5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2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1" i="0" u="none" spc="0">
                      <a:solidFill>
                        <a:schemeClr val="accent4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3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1" i="0" u="none" spc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'THIRD PARTY NOVEMBER 2025 (9)'!$H$7:$H$10</c:f>
              <c:strCache>
                <c:ptCount val="4"/>
                <c:pt idx="0">
                  <c:v>Kitwe</c:v>
                </c:pt>
                <c:pt idx="1">
                  <c:v>Eldo</c:v>
                </c:pt>
                <c:pt idx="2">
                  <c:v>Clubview</c:v>
                </c:pt>
                <c:pt idx="3">
                  <c:v>Love Laundry</c:v>
                </c:pt>
              </c:strCache>
            </c:strRef>
          </c:cat>
          <c:val>
            <c:numRef>
              <c:f>'THIRD PARTY NOVEMBER 2025 (9)'!$J$7:$J$10</c:f>
              <c:numCache>
                <c:formatCode>0%</c:formatCode>
                <c:ptCount val="4"/>
                <c:pt idx="0">
                  <c:v>0.36482084690553745</c:v>
                </c:pt>
                <c:pt idx="1">
                  <c:v>0.1791530944625407</c:v>
                </c:pt>
                <c:pt idx="2">
                  <c:v>0.4560260586319218</c:v>
                </c:pt>
                <c:pt idx="3">
                  <c:v>0</c:v>
                </c:pt>
              </c:numCache>
            </c:numRef>
          </c:val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 xmlns:a="http://schemas.openxmlformats.org/drawingml/2006/main"/>
        <a:ln xmlns:a="http://schemas.openxmlformats.org/drawingml/2006/main">
          <a:noFill/>
        </a:ln>
      </c:spPr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noFill/>
    </a:ln>
  </c:spPr>
</c:chartSpace>
</file>

<file path=xl/drawings/charts/chart29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1"/>
    <c:view3D>
      <c:rotX val="30"/>
      <c:rotY val="0"/>
      <c:rAngAx val="0"/>
    </c:view3D>
    <c:plotArea>
      <c:layout>
        <c:manualLayout>
          <c:layoutTarget val="inner"/>
          <c:xMode val="edge"/>
          <c:yMode val="edge"/>
          <c:x val="0.097916576878516"/>
          <c:y val="0.17709810760771394"/>
          <c:w val="0.804166846242968"/>
          <c:h val="0.7604022512815423"/>
        </c:manualLayout>
      </c:layout>
      <c:pie3DChart>
        <c:ser>
          <c:idx val="0"/>
          <c:order val="0"/>
          <c:dPt>
            <c:idx val="0"/>
            <c:spPr>
              <a:solidFill xmlns:a="http://schemas.openxmlformats.org/drawingml/2006/main">
                <a:schemeClr val="accent6"/>
              </a:solidFill>
              <a:ln xmlns:a="http://schemas.openxmlformats.org/drawingml/2006/main">
                <a:noFill/>
              </a:ln>
            </c:spPr>
          </c:dPt>
          <c:dPt>
            <c:idx val="1"/>
            <c:spPr>
              <a:solidFill xmlns:a="http://schemas.openxmlformats.org/drawingml/2006/main">
                <a:schemeClr val="accent5"/>
              </a:solidFill>
              <a:ln xmlns:a="http://schemas.openxmlformats.org/drawingml/2006/main">
                <a:noFill/>
              </a:ln>
            </c:spPr>
          </c:dPt>
          <c:dLbls>
            <c:dLbl>
              <c:idx val="0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1" i="0" u="none" spc="0">
                      <a:solidFill>
                        <a:schemeClr val="accent6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1" i="0" u="none" spc="0">
                      <a:solidFill>
                        <a:schemeClr val="accent5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'CLEANSTEP NOVEMBER 2025 (9)'!$A$5:$A$6</c:f>
              <c:strCache>
                <c:ptCount val="2"/>
                <c:pt idx="0">
                  <c:v>SHOP</c:v>
                </c:pt>
                <c:pt idx="1">
                  <c:v>THIRD PARTY </c:v>
                </c:pt>
              </c:strCache>
            </c:strRef>
          </c:cat>
          <c:val>
            <c:numRef>
              <c:f>'CLEANSTEP NOVEMBER 2025 (9)'!$B$5:$B$6</c:f>
              <c:numCache>
                <c:formatCode>"R"#,##0.00</c:formatCode>
                <c:ptCount val="2"/>
                <c:pt idx="0">
                  <c:v>71469.75</c:v>
                </c:pt>
                <c:pt idx="1">
                  <c:v>3070</c:v>
                </c:pt>
              </c:numCache>
            </c:numRef>
          </c:val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 xmlns:a="http://schemas.openxmlformats.org/drawingml/2006/main"/>
        <a:ln xmlns:a="http://schemas.openxmlformats.org/drawingml/2006/main">
          <a:noFill/>
        </a:ln>
      </c:spPr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noFill/>
    </a:ln>
  </c:spPr>
</c:chartSpace>
</file>

<file path=xl/drawings/charts/chart30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400" b="0" i="0" u="none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December 2026 Sales</a:t>
            </a:r>
          </a:p>
        </c:rich>
      </c:tx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400" b="0" i="0" u="none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view3D>
      <c:rotX val="30"/>
      <c:rotY val="0"/>
      <c:rAngAx val="0"/>
    </c:view3D>
    <c:plotArea>
      <c:pie3DChart>
        <c:ser>
          <c:idx val="0"/>
          <c:order val="0"/>
          <c:dPt>
            <c:idx val="0"/>
            <c:spPr>
              <a:solidFill xmlns:a="http://schemas.openxmlformats.org/drawingml/2006/main">
                <a:schemeClr val="accent6"/>
              </a:solidFill>
              <a:ln xmlns:a="http://schemas.openxmlformats.org/drawingml/2006/main" w="25400">
                <a:solidFill>
                  <a:schemeClr val="lt1"/>
                </a:solidFill>
              </a:ln>
            </c:spPr>
          </c:dPt>
          <c:dPt>
            <c:idx val="1"/>
            <c:spPr>
              <a:solidFill xmlns:a="http://schemas.openxmlformats.org/drawingml/2006/main">
                <a:schemeClr val="accent5"/>
              </a:solidFill>
              <a:ln xmlns:a="http://schemas.openxmlformats.org/drawingml/2006/main" w="25400">
                <a:solidFill>
                  <a:schemeClr val="lt1"/>
                </a:solidFill>
              </a:ln>
            </c:spPr>
          </c:dPt>
          <c:dPt>
            <c:idx val="2"/>
            <c:spPr>
              <a:solidFill xmlns:a="http://schemas.openxmlformats.org/drawingml/2006/main">
                <a:schemeClr val="accent4"/>
              </a:solidFill>
              <a:ln xmlns:a="http://schemas.openxmlformats.org/drawingml/2006/main" w="25400">
                <a:solidFill>
                  <a:schemeClr val="bg1"/>
                </a:solidFill>
              </a:ln>
            </c:spPr>
          </c:dPt>
          <c:dPt>
            <c:idx val="3"/>
            <c:spPr>
              <a:solidFill xmlns:a="http://schemas.openxmlformats.org/drawingml/2006/main">
                <a:schemeClr val="accent6">
                  <a:lumMod val="60000"/>
                </a:schemeClr>
              </a:solidFill>
              <a:ln xmlns:a="http://schemas.openxmlformats.org/drawingml/2006/main" w="25400">
                <a:solidFill>
                  <a:schemeClr val="lt1"/>
                </a:solidFill>
              </a:ln>
            </c:spPr>
          </c:dPt>
          <c:dLbls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000" b="1" i="0" u="none">
                    <a:solidFill>
                      <a:schemeClr val="tx1"/>
                    </a:solidFill>
                    <a:latin typeface="+mn-lt"/>
                    <a:ea typeface="+mn-lt"/>
                    <a:cs typeface="+mn-lt"/>
                  </a:defRPr>
                </a:pPr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'SHOP DECEMBER 2025 (10)'!$I$8:$I$11</c:f>
              <c:strCache>
                <c:ptCount val="3"/>
                <c:pt idx="0">
                  <c:v>Footwear</c:v>
                </c:pt>
                <c:pt idx="1">
                  <c:v>Deep Cleaning</c:v>
                </c:pt>
                <c:pt idx="2">
                  <c:v>Print &amp; Retail</c:v>
                </c:pt>
              </c:strCache>
            </c:strRef>
          </c:cat>
          <c:val>
            <c:numRef>
              <c:f>'SHOP DECEMBER 2025 (10)'!$J$8:$J$11</c:f>
              <c:numCache>
                <c:formatCode>"R"#,##0.00</c:formatCode>
                <c:ptCount val="4"/>
                <c:pt idx="0">
                  <c:v>18870</c:v>
                </c:pt>
                <c:pt idx="1">
                  <c:v>40860.5</c:v>
                </c:pt>
                <c:pt idx="2">
                  <c:v>27228</c:v>
                </c:pt>
              </c:numCache>
            </c:numRef>
          </c:val>
        </c:ser>
        <c:ser>
          <c:idx val="1"/>
          <c:order val="1"/>
          <c:dPt>
            <c:idx val="0"/>
            <c:spPr>
              <a:solidFill xmlns:a="http://schemas.openxmlformats.org/drawingml/2006/main">
                <a:schemeClr val="accent6"/>
              </a:solidFill>
              <a:ln xmlns:a="http://schemas.openxmlformats.org/drawingml/2006/main" w="25400">
                <a:solidFill>
                  <a:schemeClr val="lt1"/>
                </a:solidFill>
              </a:ln>
            </c:spPr>
          </c:dPt>
          <c:dPt>
            <c:idx val="1"/>
            <c:spPr>
              <a:solidFill xmlns:a="http://schemas.openxmlformats.org/drawingml/2006/main">
                <a:schemeClr val="accent5"/>
              </a:solidFill>
              <a:ln xmlns:a="http://schemas.openxmlformats.org/drawingml/2006/main" w="25400">
                <a:solidFill>
                  <a:schemeClr val="lt1"/>
                </a:solidFill>
              </a:ln>
            </c:spPr>
          </c:dPt>
          <c:dPt>
            <c:idx val="2"/>
            <c:spPr>
              <a:solidFill xmlns:a="http://schemas.openxmlformats.org/drawingml/2006/main">
                <a:schemeClr val="accent4"/>
              </a:solidFill>
              <a:ln xmlns:a="http://schemas.openxmlformats.org/drawingml/2006/main" w="25400">
                <a:solidFill>
                  <a:schemeClr val="lt1"/>
                </a:solidFill>
              </a:ln>
            </c:spPr>
          </c:dPt>
          <c:dPt>
            <c:idx val="3"/>
            <c:spPr>
              <a:solidFill xmlns:a="http://schemas.openxmlformats.org/drawingml/2006/main">
                <a:schemeClr val="accent6">
                  <a:lumMod val="60000"/>
                </a:schemeClr>
              </a:solidFill>
              <a:ln xmlns:a="http://schemas.openxmlformats.org/drawingml/2006/main" w="25400">
                <a:solidFill>
                  <a:schemeClr val="lt1"/>
                </a:solidFill>
              </a:ln>
            </c:spPr>
          </c:dPt>
          <c:dLbls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lt"/>
                    <a:cs typeface="+mn-lt"/>
                  </a:defRPr>
                </a:pPr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'SHOP DECEMBER 2025 (10)'!$I$8:$I$11</c:f>
              <c:strCache>
                <c:ptCount val="3"/>
                <c:pt idx="0">
                  <c:v>Footwear</c:v>
                </c:pt>
                <c:pt idx="1">
                  <c:v>Deep Cleaning</c:v>
                </c:pt>
                <c:pt idx="2">
                  <c:v>Print &amp; Retail</c:v>
                </c:pt>
              </c:strCache>
            </c:strRef>
          </c:cat>
          <c:val>
            <c:numRef>
              <c:f>'SHOP DECEMBER 2025 (10)'!$K$8:$K$11</c:f>
              <c:numCache>
                <c:formatCode>0%</c:formatCode>
                <c:ptCount val="4"/>
                <c:pt idx="0">
                  <c:v>0.21700006324856108</c:v>
                </c:pt>
                <c:pt idx="1">
                  <c:v>0.4698850601148824</c:v>
                </c:pt>
                <c:pt idx="2">
                  <c:v>0.3131148766365565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 xmlns:a="http://schemas.openxmlformats.org/drawingml/2006/main"/>
        <a:ln xmlns:a="http://schemas.openxmlformats.org/drawingml/2006/main">
          <a:noFill/>
        </a:ln>
      </c:spPr>
    </c:plotArea>
    <c:legend>
      <c:legendPos val="b"/>
      <c:overlay val="0"/>
      <c:spPr>
        <a:noFill xmlns:a="http://schemas.openxmlformats.org/drawingml/2006/main"/>
      </c:spPr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charts/chart31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600" b="1" i="0" u="none" cap="all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THIRD PARTY</a:t>
            </a:r>
          </a:p>
        </c:rich>
      </c:tx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600" b="1" i="0" u="none" cap="all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view3D>
      <c:rotX val="30"/>
      <c:rotY val="0"/>
      <c:rAngAx val="0"/>
    </c:view3D>
    <c:plotArea>
      <c:pie3DChart>
        <c:ser>
          <c:idx val="0"/>
          <c:order val="0"/>
          <c:dPt>
            <c:idx val="0"/>
            <c:spPr>
              <a:solidFill xmlns:a="http://schemas.openxmlformats.org/drawingml/2006/main">
                <a:schemeClr val="accent6"/>
              </a:solidFill>
              <a:ln xmlns:a="http://schemas.openxmlformats.org/drawingml/2006/main">
                <a:noFill/>
              </a:ln>
            </c:spPr>
          </c:dPt>
          <c:dPt>
            <c:idx val="1"/>
            <c:spPr>
              <a:solidFill xmlns:a="http://schemas.openxmlformats.org/drawingml/2006/main">
                <a:schemeClr val="accent5"/>
              </a:solidFill>
              <a:ln xmlns:a="http://schemas.openxmlformats.org/drawingml/2006/main">
                <a:noFill/>
              </a:ln>
            </c:spPr>
          </c:dPt>
          <c:dPt>
            <c:idx val="2"/>
            <c: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</a:ln>
            </c:spPr>
          </c:dPt>
          <c:dPt>
            <c:idx val="3"/>
            <c:spPr>
              <a:solidFill xmlns:a="http://schemas.openxmlformats.org/drawingml/2006/main">
                <a:schemeClr val="accent6">
                  <a:lumMod val="60000"/>
                </a:schemeClr>
              </a:solidFill>
              <a:ln xmlns:a="http://schemas.openxmlformats.org/drawingml/2006/main">
                <a:noFill/>
              </a:ln>
            </c:spPr>
          </c:dPt>
          <c:dLbls>
            <c:dLbl>
              <c:idx val="0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200" b="1" i="0" u="none" spc="0">
                      <a:solidFill>
                        <a:schemeClr val="accent6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200" b="1" i="0" u="none" spc="0">
                      <a:solidFill>
                        <a:schemeClr val="accent5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2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200" b="1" i="0" u="none" spc="0">
                      <a:solidFill>
                        <a:schemeClr val="accent4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3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200" b="1" i="0" u="none" spc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200" b="1" i="0" u="none" spc="0">
                    <a:solidFill>
                      <a:schemeClr val="accent6"/>
                    </a:solidFill>
                    <a:latin typeface="+mn-lt"/>
                    <a:ea typeface="+mn-lt"/>
                    <a:cs typeface="+mn-lt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'THIRD PARTY DECEMBER 2025 (10)'!$H$7:$H$10</c:f>
              <c:strCache>
                <c:ptCount val="4"/>
                <c:pt idx="0">
                  <c:v>Kitwe</c:v>
                </c:pt>
                <c:pt idx="1">
                  <c:v>Eldo</c:v>
                </c:pt>
                <c:pt idx="2">
                  <c:v>Clubview</c:v>
                </c:pt>
                <c:pt idx="3">
                  <c:v>Love</c:v>
                </c:pt>
              </c:strCache>
            </c:strRef>
          </c:cat>
          <c:val>
            <c:numRef>
              <c:f>'THIRD PARTY DECEMBER 2025 (10)'!$I$7:$I$10</c:f>
              <c:numCache>
                <c:formatCode>"R"#,##0.00</c:formatCode>
                <c:ptCount val="4"/>
                <c:pt idx="0">
                  <c:v>2030</c:v>
                </c:pt>
                <c:pt idx="1">
                  <c:v>2040</c:v>
                </c:pt>
                <c:pt idx="2">
                  <c:v>2970</c:v>
                </c:pt>
                <c:pt idx="3">
                  <c:v>480</c:v>
                </c:pt>
              </c:numCache>
            </c:numRef>
          </c:val>
        </c:ser>
        <c:ser>
          <c:idx val="1"/>
          <c:order val="1"/>
          <c:dPt>
            <c:idx val="0"/>
            <c:spPr>
              <a:solidFill xmlns:a="http://schemas.openxmlformats.org/drawingml/2006/main">
                <a:schemeClr val="accent6"/>
              </a:solidFill>
              <a:ln xmlns:a="http://schemas.openxmlformats.org/drawingml/2006/main">
                <a:noFill/>
              </a:ln>
            </c:spPr>
          </c:dPt>
          <c:dPt>
            <c:idx val="1"/>
            <c:spPr>
              <a:solidFill xmlns:a="http://schemas.openxmlformats.org/drawingml/2006/main">
                <a:schemeClr val="accent5"/>
              </a:solidFill>
              <a:ln xmlns:a="http://schemas.openxmlformats.org/drawingml/2006/main">
                <a:noFill/>
              </a:ln>
            </c:spPr>
          </c:dPt>
          <c:dPt>
            <c:idx val="2"/>
            <c: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</a:ln>
            </c:spPr>
          </c:dPt>
          <c:dLbls>
            <c:dLbl>
              <c:idx val="0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1" i="0" u="none" spc="0">
                      <a:solidFill>
                        <a:schemeClr val="accent6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1" i="0" u="none" spc="0">
                      <a:solidFill>
                        <a:schemeClr val="accent5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2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1" i="0" u="none" spc="0">
                      <a:solidFill>
                        <a:schemeClr val="accent4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'THIRD PARTY DECEMBER 2025 (10)'!$H$7:$H$10</c:f>
              <c:strCache>
                <c:ptCount val="4"/>
                <c:pt idx="0">
                  <c:v>Kitwe</c:v>
                </c:pt>
                <c:pt idx="1">
                  <c:v>Eldo</c:v>
                </c:pt>
                <c:pt idx="2">
                  <c:v>Clubview</c:v>
                </c:pt>
                <c:pt idx="3">
                  <c:v>Love</c:v>
                </c:pt>
              </c:strCache>
            </c:strRef>
          </c:cat>
          <c:val>
            <c:numRef>
              <c:f>'THIRD PARTY DECEMBER 2025 (10)'!$J$7:$J$9</c:f>
              <c:numCache>
                <c:formatCode>0%</c:formatCode>
                <c:ptCount val="3"/>
                <c:pt idx="0">
                  <c:v>0.2699468085106383</c:v>
                </c:pt>
                <c:pt idx="1">
                  <c:v>0.2712765957446808</c:v>
                </c:pt>
                <c:pt idx="2">
                  <c:v>0.3949468085106383</c:v>
                </c:pt>
              </c:numCache>
            </c:numRef>
          </c:val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 xmlns:a="http://schemas.openxmlformats.org/drawingml/2006/main"/>
        <a:ln xmlns:a="http://schemas.openxmlformats.org/drawingml/2006/main">
          <a:noFill/>
        </a:ln>
      </c:spPr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noFill/>
    </a:ln>
  </c:spPr>
</c:chartSpace>
</file>

<file path=xl/drawings/charts/chart32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1"/>
    <c:view3D>
      <c:rotX val="30"/>
      <c:rotY val="0"/>
      <c:rAngAx val="0"/>
    </c:view3D>
    <c:plotArea>
      <c:layout>
        <c:manualLayout>
          <c:layoutTarget val="inner"/>
          <c:xMode val="edge"/>
          <c:yMode val="edge"/>
          <c:x val="0.097916576878516"/>
          <c:y val="0.17709810760771394"/>
          <c:w val="0.804166846242968"/>
          <c:h val="0.7604022512815423"/>
        </c:manualLayout>
      </c:layout>
      <c:pie3DChart>
        <c:ser>
          <c:idx val="0"/>
          <c:order val="0"/>
          <c:dPt>
            <c:idx val="0"/>
            <c:spPr>
              <a:solidFill xmlns:a="http://schemas.openxmlformats.org/drawingml/2006/main">
                <a:schemeClr val="accent6"/>
              </a:solidFill>
              <a:ln xmlns:a="http://schemas.openxmlformats.org/drawingml/2006/main">
                <a:noFill/>
              </a:ln>
            </c:spPr>
          </c:dPt>
          <c:dPt>
            <c:idx val="1"/>
            <c:spPr>
              <a:solidFill xmlns:a="http://schemas.openxmlformats.org/drawingml/2006/main">
                <a:schemeClr val="accent5"/>
              </a:solidFill>
              <a:ln xmlns:a="http://schemas.openxmlformats.org/drawingml/2006/main">
                <a:noFill/>
              </a:ln>
            </c:spPr>
          </c:dPt>
          <c:dLbls>
            <c:dLbl>
              <c:idx val="0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1" i="0" u="none" spc="0">
                      <a:solidFill>
                        <a:schemeClr val="accent6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1" i="0" u="none" spc="0">
                      <a:solidFill>
                        <a:schemeClr val="accent5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'CLEANSTEP DECEMBER 2025 (10)'!$A$5:$A$6</c:f>
              <c:strCache>
                <c:ptCount val="2"/>
                <c:pt idx="0">
                  <c:v>SHOP</c:v>
                </c:pt>
                <c:pt idx="1">
                  <c:v>THIRD PARTY </c:v>
                </c:pt>
              </c:strCache>
            </c:strRef>
          </c:cat>
          <c:val>
            <c:numRef>
              <c:f>'CLEANSTEP DECEMBER 2025 (10)'!$B$5:$B$6</c:f>
              <c:numCache>
                <c:formatCode>"R"#,##0.00</c:formatCode>
                <c:ptCount val="2"/>
                <c:pt idx="0">
                  <c:v>86958.5</c:v>
                </c:pt>
                <c:pt idx="1">
                  <c:v>7520</c:v>
                </c:pt>
              </c:numCache>
            </c:numRef>
          </c:val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 xmlns:a="http://schemas.openxmlformats.org/drawingml/2006/main"/>
        <a:ln xmlns:a="http://schemas.openxmlformats.org/drawingml/2006/main">
          <a:noFill/>
        </a:ln>
      </c:spPr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noFill/>
    </a:ln>
  </c:spPr>
</c:chartSpace>
</file>

<file path=xl/drawings/charts/chart33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400" b="0" i="0" u="none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January 2027 Sales</a:t>
            </a:r>
          </a:p>
        </c:rich>
      </c:tx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400" b="0" i="0" u="none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view3D>
      <c:rotX val="30"/>
      <c:rotY val="0"/>
      <c:rAngAx val="0"/>
    </c:view3D>
    <c:plotArea>
      <c:pie3DChart>
        <c:ser>
          <c:idx val="0"/>
          <c:order val="0"/>
          <c:dPt>
            <c:idx val="0"/>
            <c:spPr>
              <a:solidFill xmlns:a="http://schemas.openxmlformats.org/drawingml/2006/main">
                <a:schemeClr val="accent6"/>
              </a:solidFill>
              <a:ln xmlns:a="http://schemas.openxmlformats.org/drawingml/2006/main" w="25400">
                <a:solidFill>
                  <a:schemeClr val="lt1"/>
                </a:solidFill>
              </a:ln>
            </c:spPr>
          </c:dPt>
          <c:dPt>
            <c:idx val="1"/>
            <c:spPr>
              <a:solidFill xmlns:a="http://schemas.openxmlformats.org/drawingml/2006/main">
                <a:schemeClr val="accent5"/>
              </a:solidFill>
              <a:ln xmlns:a="http://schemas.openxmlformats.org/drawingml/2006/main" w="25400">
                <a:solidFill>
                  <a:schemeClr val="lt1"/>
                </a:solidFill>
              </a:ln>
            </c:spPr>
          </c:dPt>
          <c:dPt>
            <c:idx val="2"/>
            <c:spPr>
              <a:solidFill xmlns:a="http://schemas.openxmlformats.org/drawingml/2006/main">
                <a:schemeClr val="accent4"/>
              </a:solidFill>
              <a:ln xmlns:a="http://schemas.openxmlformats.org/drawingml/2006/main" w="25400">
                <a:solidFill>
                  <a:schemeClr val="bg1"/>
                </a:solidFill>
              </a:ln>
            </c:spPr>
          </c:dPt>
          <c:dPt>
            <c:idx val="3"/>
            <c:spPr>
              <a:solidFill xmlns:a="http://schemas.openxmlformats.org/drawingml/2006/main">
                <a:schemeClr val="accent6">
                  <a:lumMod val="60000"/>
                </a:schemeClr>
              </a:solidFill>
              <a:ln xmlns:a="http://schemas.openxmlformats.org/drawingml/2006/main" w="25400">
                <a:solidFill>
                  <a:schemeClr val="lt1"/>
                </a:solidFill>
              </a:ln>
            </c:spPr>
          </c:dPt>
          <c:dLbls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000" b="1" i="0" u="none">
                    <a:solidFill>
                      <a:schemeClr val="tx1"/>
                    </a:solidFill>
                    <a:latin typeface="+mn-lt"/>
                    <a:ea typeface="+mn-lt"/>
                    <a:cs typeface="+mn-lt"/>
                  </a:defRPr>
                </a:pPr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'SHOP JANUARY 2026 (11)'!$I$8:$I$11</c:f>
              <c:strCache>
                <c:ptCount val="3"/>
                <c:pt idx="0">
                  <c:v>Footwear</c:v>
                </c:pt>
                <c:pt idx="1">
                  <c:v>Deep Cleaning</c:v>
                </c:pt>
                <c:pt idx="2">
                  <c:v>Print &amp; Retail</c:v>
                </c:pt>
              </c:strCache>
            </c:strRef>
          </c:cat>
          <c:val>
            <c:numRef>
              <c:f>'SHOP JANUARY 2026 (11)'!$J$8:$J$11</c:f>
              <c:numCache>
                <c:formatCode>"R"#,##0.00</c:formatCode>
                <c:ptCount val="4"/>
                <c:pt idx="0">
                  <c:v>17830</c:v>
                </c:pt>
                <c:pt idx="1">
                  <c:v>6635</c:v>
                </c:pt>
                <c:pt idx="2">
                  <c:v>3675</c:v>
                </c:pt>
              </c:numCache>
            </c:numRef>
          </c:val>
        </c:ser>
        <c:ser>
          <c:idx val="1"/>
          <c:order val="1"/>
          <c:dPt>
            <c:idx val="0"/>
            <c:spPr>
              <a:solidFill xmlns:a="http://schemas.openxmlformats.org/drawingml/2006/main">
                <a:schemeClr val="accent6"/>
              </a:solidFill>
              <a:ln xmlns:a="http://schemas.openxmlformats.org/drawingml/2006/main" w="25400">
                <a:solidFill>
                  <a:schemeClr val="lt1"/>
                </a:solidFill>
              </a:ln>
            </c:spPr>
          </c:dPt>
          <c:dPt>
            <c:idx val="1"/>
            <c:spPr>
              <a:solidFill xmlns:a="http://schemas.openxmlformats.org/drawingml/2006/main">
                <a:schemeClr val="accent5"/>
              </a:solidFill>
              <a:ln xmlns:a="http://schemas.openxmlformats.org/drawingml/2006/main" w="25400">
                <a:solidFill>
                  <a:schemeClr val="lt1"/>
                </a:solidFill>
              </a:ln>
            </c:spPr>
          </c:dPt>
          <c:dPt>
            <c:idx val="2"/>
            <c:spPr>
              <a:solidFill xmlns:a="http://schemas.openxmlformats.org/drawingml/2006/main">
                <a:schemeClr val="accent4"/>
              </a:solidFill>
              <a:ln xmlns:a="http://schemas.openxmlformats.org/drawingml/2006/main" w="25400">
                <a:solidFill>
                  <a:schemeClr val="lt1"/>
                </a:solidFill>
              </a:ln>
            </c:spPr>
          </c:dPt>
          <c:dPt>
            <c:idx val="3"/>
            <c:spPr>
              <a:solidFill xmlns:a="http://schemas.openxmlformats.org/drawingml/2006/main">
                <a:schemeClr val="accent6">
                  <a:lumMod val="60000"/>
                </a:schemeClr>
              </a:solidFill>
              <a:ln xmlns:a="http://schemas.openxmlformats.org/drawingml/2006/main" w="25400">
                <a:solidFill>
                  <a:schemeClr val="lt1"/>
                </a:solidFill>
              </a:ln>
            </c:spPr>
          </c:dPt>
          <c:dLbls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lt"/>
                    <a:cs typeface="+mn-lt"/>
                  </a:defRPr>
                </a:pPr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'SHOP JANUARY 2026 (11)'!$I$8:$I$11</c:f>
              <c:strCache>
                <c:ptCount val="3"/>
                <c:pt idx="0">
                  <c:v>Footwear</c:v>
                </c:pt>
                <c:pt idx="1">
                  <c:v>Deep Cleaning</c:v>
                </c:pt>
                <c:pt idx="2">
                  <c:v>Print &amp; Retail</c:v>
                </c:pt>
              </c:strCache>
            </c:strRef>
          </c:cat>
          <c:val>
            <c:numRef>
              <c:f>'SHOP JANUARY 2026 (11)'!$K$8:$K$11</c:f>
              <c:numCache>
                <c:formatCode>0%</c:formatCode>
                <c:ptCount val="4"/>
                <c:pt idx="0">
                  <c:v>0.6336176261549396</c:v>
                </c:pt>
                <c:pt idx="1">
                  <c:v>0.23578535891968727</c:v>
                </c:pt>
                <c:pt idx="2">
                  <c:v>0.13059701492537312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 xmlns:a="http://schemas.openxmlformats.org/drawingml/2006/main"/>
        <a:ln xmlns:a="http://schemas.openxmlformats.org/drawingml/2006/main">
          <a:noFill/>
        </a:ln>
      </c:spPr>
    </c:plotArea>
    <c:legend>
      <c:legendPos val="b"/>
      <c:overlay val="0"/>
      <c:spPr>
        <a:noFill xmlns:a="http://schemas.openxmlformats.org/drawingml/2006/main"/>
      </c:spPr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charts/chart34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600" b="1" i="0" u="none" cap="all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THIRD PARTY</a:t>
            </a:r>
          </a:p>
        </c:rich>
      </c:tx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600" b="1" i="0" u="none" cap="all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view3D>
      <c:rotX val="30"/>
      <c:rotY val="0"/>
      <c:rAngAx val="0"/>
    </c:view3D>
    <c:plotArea>
      <c:pie3DChart>
        <c:ser>
          <c:idx val="0"/>
          <c:order val="0"/>
          <c:dPt>
            <c:idx val="0"/>
            <c:spPr>
              <a:solidFill xmlns:a="http://schemas.openxmlformats.org/drawingml/2006/main">
                <a:schemeClr val="accent6"/>
              </a:solidFill>
              <a:ln xmlns:a="http://schemas.openxmlformats.org/drawingml/2006/main">
                <a:noFill/>
              </a:ln>
            </c:spPr>
          </c:dPt>
          <c:dPt>
            <c:idx val="1"/>
            <c:spPr>
              <a:solidFill xmlns:a="http://schemas.openxmlformats.org/drawingml/2006/main">
                <a:schemeClr val="accent5"/>
              </a:solidFill>
              <a:ln xmlns:a="http://schemas.openxmlformats.org/drawingml/2006/main">
                <a:noFill/>
              </a:ln>
            </c:spPr>
          </c:dPt>
          <c:dPt>
            <c:idx val="2"/>
            <c: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</a:ln>
            </c:spPr>
          </c:dPt>
          <c:dPt>
            <c:idx val="3"/>
            <c:spPr>
              <a:solidFill xmlns:a="http://schemas.openxmlformats.org/drawingml/2006/main">
                <a:schemeClr val="accent6">
                  <a:lumMod val="60000"/>
                </a:schemeClr>
              </a:solidFill>
              <a:ln xmlns:a="http://schemas.openxmlformats.org/drawingml/2006/main">
                <a:noFill/>
              </a:ln>
            </c:spPr>
          </c:dPt>
          <c:dLbls>
            <c:dLbl>
              <c:idx val="0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1" i="0" u="none" spc="0">
                      <a:solidFill>
                        <a:schemeClr val="accent6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1" i="0" u="none" spc="0">
                      <a:solidFill>
                        <a:schemeClr val="accent5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2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1" i="0" u="none" spc="0">
                      <a:solidFill>
                        <a:schemeClr val="accent4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3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1" i="0" u="none" spc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'THIRD PARTY JANUARY 2026 (11)'!$H$7:$H$10</c:f>
              <c:strCache>
                <c:ptCount val="4"/>
                <c:pt idx="0">
                  <c:v>Kitwe</c:v>
                </c:pt>
                <c:pt idx="1">
                  <c:v>Eldo</c:v>
                </c:pt>
                <c:pt idx="2">
                  <c:v>Clubview</c:v>
                </c:pt>
                <c:pt idx="3">
                  <c:v>Love</c:v>
                </c:pt>
              </c:strCache>
            </c:strRef>
          </c:cat>
          <c:val>
            <c:numRef>
              <c:f>'THIRD PARTY JANUARY 2026 (11)'!$I$7:$I$10</c:f>
              <c:numCache>
                <c:formatCode>"R"#,##0.00</c:formatCode>
                <c:ptCount val="4"/>
                <c:pt idx="0">
                  <c:v>2390</c:v>
                </c:pt>
                <c:pt idx="1">
                  <c:v>800</c:v>
                </c:pt>
                <c:pt idx="2">
                  <c:v>1730</c:v>
                </c:pt>
                <c:pt idx="3">
                  <c:v>140</c:v>
                </c:pt>
              </c:numCache>
            </c:numRef>
          </c:val>
        </c:ser>
        <c:ser>
          <c:idx val="1"/>
          <c:order val="1"/>
          <c:dPt>
            <c:idx val="0"/>
            <c:spPr>
              <a:solidFill xmlns:a="http://schemas.openxmlformats.org/drawingml/2006/main">
                <a:schemeClr val="accent6"/>
              </a:solidFill>
              <a:ln xmlns:a="http://schemas.openxmlformats.org/drawingml/2006/main">
                <a:noFill/>
              </a:ln>
            </c:spPr>
          </c:dPt>
          <c:dPt>
            <c:idx val="1"/>
            <c:spPr>
              <a:solidFill xmlns:a="http://schemas.openxmlformats.org/drawingml/2006/main">
                <a:schemeClr val="accent5"/>
              </a:solidFill>
              <a:ln xmlns:a="http://schemas.openxmlformats.org/drawingml/2006/main">
                <a:noFill/>
              </a:ln>
            </c:spPr>
          </c:dPt>
          <c:dPt>
            <c:idx val="2"/>
            <c: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</a:ln>
            </c:spPr>
          </c:dPt>
          <c:dLbls>
            <c:dLbl>
              <c:idx val="0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1" i="0" u="none" spc="0">
                      <a:solidFill>
                        <a:schemeClr val="accent6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1" i="0" u="none" spc="0">
                      <a:solidFill>
                        <a:schemeClr val="accent5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2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1" i="0" u="none" spc="0">
                      <a:solidFill>
                        <a:schemeClr val="accent4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'THIRD PARTY JANUARY 2026 (11)'!$H$7:$H$10</c:f>
              <c:strCache>
                <c:ptCount val="4"/>
                <c:pt idx="0">
                  <c:v>Kitwe</c:v>
                </c:pt>
                <c:pt idx="1">
                  <c:v>Eldo</c:v>
                </c:pt>
                <c:pt idx="2">
                  <c:v>Clubview</c:v>
                </c:pt>
                <c:pt idx="3">
                  <c:v>Love</c:v>
                </c:pt>
              </c:strCache>
            </c:strRef>
          </c:cat>
          <c:val>
            <c:numRef>
              <c:f>'THIRD PARTY JANUARY 2026 (11)'!$J$7:$J$9</c:f>
              <c:numCache>
                <c:formatCode>0%</c:formatCode>
                <c:ptCount val="3"/>
                <c:pt idx="0">
                  <c:v>0.4723320158102767</c:v>
                </c:pt>
                <c:pt idx="1">
                  <c:v>0.15810276679841898</c:v>
                </c:pt>
                <c:pt idx="2">
                  <c:v>0.34189723320158105</c:v>
                </c:pt>
              </c:numCache>
            </c:numRef>
          </c:val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 xmlns:a="http://schemas.openxmlformats.org/drawingml/2006/main"/>
        <a:ln xmlns:a="http://schemas.openxmlformats.org/drawingml/2006/main">
          <a:noFill/>
        </a:ln>
      </c:spPr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noFill/>
    </a:ln>
  </c:spPr>
</c:chartSpace>
</file>

<file path=xl/drawings/charts/chart35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1"/>
    <c:view3D>
      <c:rotX val="30"/>
      <c:rotY val="0"/>
      <c:rAngAx val="0"/>
    </c:view3D>
    <c:plotArea>
      <c:layout>
        <c:manualLayout>
          <c:layoutTarget val="inner"/>
          <c:xMode val="edge"/>
          <c:yMode val="edge"/>
          <c:x val="0.097916576878516"/>
          <c:y val="0.17709810760771394"/>
          <c:w val="0.804166846242968"/>
          <c:h val="0.7604022512815423"/>
        </c:manualLayout>
      </c:layout>
      <c:pie3DChart>
        <c:ser>
          <c:idx val="0"/>
          <c:order val="0"/>
          <c:dPt>
            <c:idx val="0"/>
            <c:spPr>
              <a:solidFill xmlns:a="http://schemas.openxmlformats.org/drawingml/2006/main">
                <a:schemeClr val="accent6"/>
              </a:solidFill>
              <a:ln xmlns:a="http://schemas.openxmlformats.org/drawingml/2006/main">
                <a:noFill/>
              </a:ln>
            </c:spPr>
          </c:dPt>
          <c:dPt>
            <c:idx val="1"/>
            <c:spPr>
              <a:solidFill xmlns:a="http://schemas.openxmlformats.org/drawingml/2006/main">
                <a:schemeClr val="accent5"/>
              </a:solidFill>
              <a:ln xmlns:a="http://schemas.openxmlformats.org/drawingml/2006/main">
                <a:noFill/>
              </a:ln>
            </c:spPr>
          </c:dPt>
          <c:dLbls>
            <c:dLbl>
              <c:idx val="0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1" i="0" u="none" spc="0">
                      <a:solidFill>
                        <a:schemeClr val="accent6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1" i="0" u="none" spc="0">
                      <a:solidFill>
                        <a:schemeClr val="accent5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'CLEANSTEP JANUARY 2026 (11)'!$A$5:$A$6</c:f>
              <c:strCache>
                <c:ptCount val="2"/>
                <c:pt idx="0">
                  <c:v>SHOP</c:v>
                </c:pt>
                <c:pt idx="1">
                  <c:v>THIRD PARTY </c:v>
                </c:pt>
              </c:strCache>
            </c:strRef>
          </c:cat>
          <c:val>
            <c:numRef>
              <c:f>'CLEANSTEP JANUARY 2026 (11)'!$B$5:$B$6</c:f>
              <c:numCache>
                <c:formatCode>"R"#,##0.00</c:formatCode>
                <c:ptCount val="2"/>
                <c:pt idx="0">
                  <c:v>28140</c:v>
                </c:pt>
                <c:pt idx="1">
                  <c:v>5060</c:v>
                </c:pt>
              </c:numCache>
            </c:numRef>
          </c:val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 xmlns:a="http://schemas.openxmlformats.org/drawingml/2006/main"/>
        <a:ln xmlns:a="http://schemas.openxmlformats.org/drawingml/2006/main">
          <a:noFill/>
        </a:ln>
      </c:spPr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noFill/>
    </a:ln>
  </c:spPr>
</c:chartSpace>
</file>

<file path=xl/drawings/charts/chart36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400" b="0" i="0" u="none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February 2027 Sales</a:t>
            </a:r>
          </a:p>
        </c:rich>
      </c:tx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400" b="0" i="0" u="none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view3D>
      <c:rotX val="30"/>
      <c:rotY val="0"/>
      <c:rAngAx val="0"/>
    </c:view3D>
    <c:plotArea>
      <c:pie3DChart>
        <c:ser>
          <c:idx val="0"/>
          <c:order val="0"/>
          <c:dPt>
            <c:idx val="0"/>
            <c:spPr>
              <a:solidFill xmlns:a="http://schemas.openxmlformats.org/drawingml/2006/main">
                <a:schemeClr val="accent6"/>
              </a:solidFill>
              <a:ln xmlns:a="http://schemas.openxmlformats.org/drawingml/2006/main" w="25400">
                <a:solidFill>
                  <a:schemeClr val="lt1"/>
                </a:solidFill>
              </a:ln>
            </c:spPr>
          </c:dPt>
          <c:dPt>
            <c:idx val="1"/>
            <c:spPr>
              <a:solidFill xmlns:a="http://schemas.openxmlformats.org/drawingml/2006/main">
                <a:schemeClr val="accent5"/>
              </a:solidFill>
              <a:ln xmlns:a="http://schemas.openxmlformats.org/drawingml/2006/main" w="25400">
                <a:solidFill>
                  <a:schemeClr val="lt1"/>
                </a:solidFill>
              </a:ln>
            </c:spPr>
          </c:dPt>
          <c:dPt>
            <c:idx val="2"/>
            <c:spPr>
              <a:solidFill xmlns:a="http://schemas.openxmlformats.org/drawingml/2006/main">
                <a:schemeClr val="accent4"/>
              </a:solidFill>
              <a:ln xmlns:a="http://schemas.openxmlformats.org/drawingml/2006/main" w="25400">
                <a:solidFill>
                  <a:schemeClr val="bg1"/>
                </a:solidFill>
              </a:ln>
            </c:spPr>
          </c:dPt>
          <c:dPt>
            <c:idx val="3"/>
            <c:spPr>
              <a:solidFill xmlns:a="http://schemas.openxmlformats.org/drawingml/2006/main">
                <a:schemeClr val="accent6">
                  <a:lumMod val="60000"/>
                </a:schemeClr>
              </a:solidFill>
              <a:ln xmlns:a="http://schemas.openxmlformats.org/drawingml/2006/main" w="25400">
                <a:solidFill>
                  <a:schemeClr val="lt1"/>
                </a:solidFill>
              </a:ln>
            </c:spPr>
          </c:dPt>
          <c:dLbls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000" b="1" i="0" u="none">
                    <a:solidFill>
                      <a:schemeClr val="tx1"/>
                    </a:solidFill>
                    <a:latin typeface="+mn-lt"/>
                    <a:ea typeface="+mn-lt"/>
                    <a:cs typeface="+mn-lt"/>
                  </a:defRPr>
                </a:pPr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'SHOP FEBRUARY 2026 (12)'!$I$8:$I$11</c:f>
              <c:strCache>
                <c:ptCount val="3"/>
                <c:pt idx="0">
                  <c:v>Footwear</c:v>
                </c:pt>
                <c:pt idx="1">
                  <c:v>Deep Cleaning</c:v>
                </c:pt>
                <c:pt idx="2">
                  <c:v>Retail &amp; Print</c:v>
                </c:pt>
              </c:strCache>
            </c:strRef>
          </c:cat>
          <c:val>
            <c:numRef>
              <c:f>'SHOP FEBRUARY 2026 (12)'!$J$8:$J$11</c:f>
              <c:numCache>
                <c:formatCode>"R"#,##0.00</c:formatCode>
                <c:ptCount val="4"/>
                <c:pt idx="0">
                  <c:v>12570</c:v>
                </c:pt>
                <c:pt idx="1">
                  <c:v>8530</c:v>
                </c:pt>
                <c:pt idx="2">
                  <c:v>5470.5</c:v>
                </c:pt>
              </c:numCache>
            </c:numRef>
          </c:val>
        </c:ser>
        <c:ser>
          <c:idx val="1"/>
          <c:order val="1"/>
          <c:dPt>
            <c:idx val="0"/>
            <c:spPr>
              <a:solidFill xmlns:a="http://schemas.openxmlformats.org/drawingml/2006/main">
                <a:schemeClr val="accent6"/>
              </a:solidFill>
              <a:ln xmlns:a="http://schemas.openxmlformats.org/drawingml/2006/main" w="25400">
                <a:solidFill>
                  <a:schemeClr val="lt1"/>
                </a:solidFill>
              </a:ln>
            </c:spPr>
          </c:dPt>
          <c:dPt>
            <c:idx val="1"/>
            <c:spPr>
              <a:solidFill xmlns:a="http://schemas.openxmlformats.org/drawingml/2006/main">
                <a:schemeClr val="accent5"/>
              </a:solidFill>
              <a:ln xmlns:a="http://schemas.openxmlformats.org/drawingml/2006/main" w="25400">
                <a:solidFill>
                  <a:schemeClr val="lt1"/>
                </a:solidFill>
              </a:ln>
            </c:spPr>
          </c:dPt>
          <c:dPt>
            <c:idx val="2"/>
            <c:spPr>
              <a:solidFill xmlns:a="http://schemas.openxmlformats.org/drawingml/2006/main">
                <a:schemeClr val="accent4"/>
              </a:solidFill>
              <a:ln xmlns:a="http://schemas.openxmlformats.org/drawingml/2006/main" w="25400">
                <a:solidFill>
                  <a:schemeClr val="lt1"/>
                </a:solidFill>
              </a:ln>
            </c:spPr>
          </c:dPt>
          <c:dPt>
            <c:idx val="3"/>
            <c:spPr>
              <a:solidFill xmlns:a="http://schemas.openxmlformats.org/drawingml/2006/main">
                <a:schemeClr val="accent6">
                  <a:lumMod val="60000"/>
                </a:schemeClr>
              </a:solidFill>
              <a:ln xmlns:a="http://schemas.openxmlformats.org/drawingml/2006/main" w="25400">
                <a:solidFill>
                  <a:schemeClr val="lt1"/>
                </a:solidFill>
              </a:ln>
            </c:spPr>
          </c:dPt>
          <c:dLbls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lt"/>
                    <a:cs typeface="+mn-lt"/>
                  </a:defRPr>
                </a:pPr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'SHOP FEBRUARY 2026 (12)'!$I$8:$I$11</c:f>
              <c:strCache>
                <c:ptCount val="3"/>
                <c:pt idx="0">
                  <c:v>Footwear</c:v>
                </c:pt>
                <c:pt idx="1">
                  <c:v>Deep Cleaning</c:v>
                </c:pt>
                <c:pt idx="2">
                  <c:v>Retail &amp; Print</c:v>
                </c:pt>
              </c:strCache>
            </c:strRef>
          </c:cat>
          <c:val>
            <c:numRef>
              <c:f>'SHOP FEBRUARY 2026 (12)'!$K$8:$K$11</c:f>
              <c:numCache>
                <c:formatCode>0%</c:formatCode>
                <c:ptCount val="4"/>
                <c:pt idx="0">
                  <c:v>0.47308104853126587</c:v>
                </c:pt>
                <c:pt idx="1">
                  <c:v>0.32103272426186935</c:v>
                </c:pt>
                <c:pt idx="2">
                  <c:v>0.20588622720686475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 xmlns:a="http://schemas.openxmlformats.org/drawingml/2006/main"/>
        <a:ln xmlns:a="http://schemas.openxmlformats.org/drawingml/2006/main">
          <a:noFill/>
        </a:ln>
      </c:spPr>
    </c:plotArea>
    <c:legend>
      <c:legendPos val="b"/>
      <c:overlay val="0"/>
      <c:spPr>
        <a:noFill xmlns:a="http://schemas.openxmlformats.org/drawingml/2006/main"/>
      </c:spPr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charts/chart37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600" b="1" i="0" u="none" cap="all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THIRD PARTY</a:t>
            </a:r>
          </a:p>
        </c:rich>
      </c:tx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600" b="1" i="0" u="none" cap="all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view3D>
      <c:rotX val="30"/>
      <c:rotY val="0"/>
      <c:rAngAx val="0"/>
    </c:view3D>
    <c:plotArea>
      <c:pie3DChart>
        <c:ser>
          <c:idx val="0"/>
          <c:order val="0"/>
          <c:dPt>
            <c:idx val="0"/>
            <c:spPr>
              <a:solidFill xmlns:a="http://schemas.openxmlformats.org/drawingml/2006/main">
                <a:schemeClr val="accent6"/>
              </a:solidFill>
              <a:ln xmlns:a="http://schemas.openxmlformats.org/drawingml/2006/main">
                <a:noFill/>
              </a:ln>
            </c:spPr>
          </c:dPt>
          <c:dPt>
            <c:idx val="1"/>
            <c:spPr>
              <a:solidFill xmlns:a="http://schemas.openxmlformats.org/drawingml/2006/main">
                <a:schemeClr val="accent5"/>
              </a:solidFill>
              <a:ln xmlns:a="http://schemas.openxmlformats.org/drawingml/2006/main">
                <a:noFill/>
              </a:ln>
            </c:spPr>
          </c:dPt>
          <c:dPt>
            <c:idx val="2"/>
            <c: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</a:ln>
            </c:spPr>
          </c:dPt>
          <c:dPt>
            <c:idx val="3"/>
            <c:spPr>
              <a:solidFill xmlns:a="http://schemas.openxmlformats.org/drawingml/2006/main">
                <a:schemeClr val="accent6">
                  <a:lumMod val="60000"/>
                </a:schemeClr>
              </a:solidFill>
              <a:ln xmlns:a="http://schemas.openxmlformats.org/drawingml/2006/main">
                <a:noFill/>
              </a:ln>
            </c:spPr>
          </c:dPt>
          <c:dLbls>
            <c:dLbl>
              <c:idx val="0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200" b="1" i="0" u="none" spc="0">
                      <a:solidFill>
                        <a:schemeClr val="accent6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200" b="1" i="0" u="none" spc="0">
                      <a:solidFill>
                        <a:schemeClr val="accent5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2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200" b="1" i="0" u="none" spc="0">
                      <a:solidFill>
                        <a:schemeClr val="accent4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3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200" b="1" i="0" u="none" spc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200" b="1" i="0" u="none" spc="0">
                    <a:solidFill>
                      <a:schemeClr val="accent6"/>
                    </a:solidFill>
                    <a:latin typeface="+mn-lt"/>
                    <a:ea typeface="+mn-lt"/>
                    <a:cs typeface="+mn-lt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'THIRD PARTY FEBRUARY 2026 (12)'!$H$7:$H$10</c:f>
              <c:strCache>
                <c:ptCount val="4"/>
                <c:pt idx="0">
                  <c:v>Kitwe</c:v>
                </c:pt>
                <c:pt idx="1">
                  <c:v>Eldo</c:v>
                </c:pt>
                <c:pt idx="2">
                  <c:v>Clubview</c:v>
                </c:pt>
                <c:pt idx="3">
                  <c:v>Love</c:v>
                </c:pt>
              </c:strCache>
            </c:strRef>
          </c:cat>
          <c:val>
            <c:numRef>
              <c:f>'THIRD PARTY FEBRUARY 2026 (12)'!$I$7:$I$10</c:f>
              <c:numCache>
                <c:formatCode>"R"#,##0.00</c:formatCode>
                <c:ptCount val="4"/>
                <c:pt idx="0">
                  <c:v>1770</c:v>
                </c:pt>
                <c:pt idx="1">
                  <c:v>1210</c:v>
                </c:pt>
                <c:pt idx="2">
                  <c:v>650</c:v>
                </c:pt>
                <c:pt idx="3">
                  <c:v>540</c:v>
                </c:pt>
              </c:numCache>
            </c:numRef>
          </c:val>
        </c:ser>
        <c:ser>
          <c:idx val="1"/>
          <c:order val="1"/>
          <c:dPt>
            <c:idx val="0"/>
            <c:spPr>
              <a:solidFill xmlns:a="http://schemas.openxmlformats.org/drawingml/2006/main">
                <a:schemeClr val="accent6"/>
              </a:solidFill>
              <a:ln xmlns:a="http://schemas.openxmlformats.org/drawingml/2006/main">
                <a:noFill/>
              </a:ln>
            </c:spPr>
          </c:dPt>
          <c:dPt>
            <c:idx val="1"/>
            <c:spPr>
              <a:solidFill xmlns:a="http://schemas.openxmlformats.org/drawingml/2006/main">
                <a:schemeClr val="accent5"/>
              </a:solidFill>
              <a:ln xmlns:a="http://schemas.openxmlformats.org/drawingml/2006/main">
                <a:noFill/>
              </a:ln>
            </c:spPr>
          </c:dPt>
          <c:dPt>
            <c:idx val="2"/>
            <c: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</a:ln>
            </c:spPr>
          </c:dPt>
          <c:dLbls>
            <c:dLbl>
              <c:idx val="0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1" i="0" u="none" spc="0">
                      <a:solidFill>
                        <a:schemeClr val="accent6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1" i="0" u="none" spc="0">
                      <a:solidFill>
                        <a:schemeClr val="accent5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2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1" i="0" u="none" spc="0">
                      <a:solidFill>
                        <a:schemeClr val="accent4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'THIRD PARTY FEBRUARY 2026 (12)'!$H$7:$H$10</c:f>
              <c:strCache>
                <c:ptCount val="4"/>
                <c:pt idx="0">
                  <c:v>Kitwe</c:v>
                </c:pt>
                <c:pt idx="1">
                  <c:v>Eldo</c:v>
                </c:pt>
                <c:pt idx="2">
                  <c:v>Clubview</c:v>
                </c:pt>
                <c:pt idx="3">
                  <c:v>Love</c:v>
                </c:pt>
              </c:strCache>
            </c:strRef>
          </c:cat>
          <c:val>
            <c:numRef>
              <c:f>'THIRD PARTY FEBRUARY 2026 (12)'!$J$7:$J$9</c:f>
              <c:numCache>
                <c:formatCode>0%</c:formatCode>
                <c:ptCount val="3"/>
                <c:pt idx="0">
                  <c:v>0.4244604316546763</c:v>
                </c:pt>
                <c:pt idx="1">
                  <c:v>0.290167865707434</c:v>
                </c:pt>
                <c:pt idx="2">
                  <c:v>0.15587529976019185</c:v>
                </c:pt>
              </c:numCache>
            </c:numRef>
          </c:val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 xmlns:a="http://schemas.openxmlformats.org/drawingml/2006/main"/>
        <a:ln xmlns:a="http://schemas.openxmlformats.org/drawingml/2006/main">
          <a:noFill/>
        </a:ln>
      </c:spPr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noFill/>
    </a:ln>
  </c:spPr>
</c:chartSpace>
</file>

<file path=xl/drawings/charts/chart38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1"/>
    <c:view3D>
      <c:rotX val="30"/>
      <c:rotY val="0"/>
      <c:rAngAx val="0"/>
    </c:view3D>
    <c:plotArea>
      <c:layout>
        <c:manualLayout>
          <c:layoutTarget val="inner"/>
          <c:xMode val="edge"/>
          <c:yMode val="edge"/>
          <c:x val="0.097916576878516"/>
          <c:y val="0.17709810760771394"/>
          <c:w val="0.804166846242968"/>
          <c:h val="0.7604022512815423"/>
        </c:manualLayout>
      </c:layout>
      <c:pie3DChart>
        <c:ser>
          <c:idx val="0"/>
          <c:order val="0"/>
          <c:dPt>
            <c:idx val="0"/>
            <c:spPr>
              <a:solidFill xmlns:a="http://schemas.openxmlformats.org/drawingml/2006/main">
                <a:schemeClr val="accent6"/>
              </a:solidFill>
              <a:ln xmlns:a="http://schemas.openxmlformats.org/drawingml/2006/main">
                <a:noFill/>
              </a:ln>
            </c:spPr>
          </c:dPt>
          <c:dPt>
            <c:idx val="1"/>
            <c:spPr>
              <a:solidFill xmlns:a="http://schemas.openxmlformats.org/drawingml/2006/main">
                <a:schemeClr val="accent5"/>
              </a:solidFill>
              <a:ln xmlns:a="http://schemas.openxmlformats.org/drawingml/2006/main">
                <a:noFill/>
              </a:ln>
            </c:spPr>
          </c:dPt>
          <c:dLbls>
            <c:dLbl>
              <c:idx val="0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1" i="0" u="none" spc="0">
                      <a:solidFill>
                        <a:schemeClr val="accent6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1" i="0" u="none" spc="0">
                      <a:solidFill>
                        <a:schemeClr val="accent5"/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'CLEANSTEP FRBRUARY 2026 (12)'!$A$5:$A$6</c:f>
              <c:strCache>
                <c:ptCount val="2"/>
                <c:pt idx="0">
                  <c:v>SHOP</c:v>
                </c:pt>
                <c:pt idx="1">
                  <c:v>THIRD PARTY </c:v>
                </c:pt>
              </c:strCache>
            </c:strRef>
          </c:cat>
          <c:val>
            <c:numRef>
              <c:f>'CLEANSTEP FRBRUARY 2026 (12)'!$B$5:$B$6</c:f>
              <c:numCache>
                <c:formatCode>"R"#,##0.00</c:formatCode>
                <c:ptCount val="2"/>
                <c:pt idx="0">
                  <c:v>26570.5</c:v>
                </c:pt>
                <c:pt idx="1">
                  <c:v>4170</c:v>
                </c:pt>
              </c:numCache>
            </c:numRef>
          </c:val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 xmlns:a="http://schemas.openxmlformats.org/drawingml/2006/main"/>
        <a:ln xmlns:a="http://schemas.openxmlformats.org/drawingml/2006/main">
          <a:noFill/>
        </a:ln>
      </c:spPr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noFill/>
    </a:ln>
  </c:spPr>
</c:chartSpace>
</file>

<file path=xl/drawings/drawing1.xml><?xml version="1.0" encoding="utf-8"?>
<xdr:wsDr xmlns:xdr="http://schemas.openxmlformats.org/drawingml/2006/spreadsheetDrawing">
  <xdr:twoCellAnchor editAs="oneCell">
    <xdr:from>
      <xdr:col>0</xdr:col>
      <xdr:colOff>34636</xdr:colOff>
      <xdr:row>0</xdr:row>
      <xdr:rowOff>17316</xdr:rowOff>
    </xdr:from>
    <xdr:to>
      <xdr:col>17</xdr:col>
      <xdr:colOff>523777</xdr:colOff>
      <xdr:row>45</xdr:row>
      <xdr:rowOff>69273</xdr:rowOff>
    </xdr:to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35b65fda2554f0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3</xdr:col>
      <xdr:colOff>11206</xdr:colOff>
      <xdr:row>0</xdr:row>
      <xdr:rowOff>97771</xdr:rowOff>
    </xdr:from>
    <xdr:to>
      <xdr:col>13</xdr:col>
      <xdr:colOff>840441</xdr:colOff>
      <xdr:row>14</xdr:row>
      <xdr:rowOff>173971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ac7e24b09484b26"/>
        </a:graphicData>
      </a:graphic>
    </xdr:graphicFrame>
    <xdr:clientData/>
  </xdr:twoCellAnchor>
  <xdr:twoCellAnchor>
    <xdr:from>
      <xdr:col>0</xdr:col>
      <xdr:colOff>0</xdr:colOff>
      <xdr:row>27</xdr:row>
      <xdr:rowOff>1120</xdr:rowOff>
    </xdr:from>
    <xdr:to>
      <xdr:col>10</xdr:col>
      <xdr:colOff>89647</xdr:colOff>
      <xdr:row>42</xdr:row>
      <xdr:rowOff>56029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86e6fc4604f4e7f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7</xdr:col>
      <xdr:colOff>281750</xdr:colOff>
      <xdr:row>15</xdr:row>
      <xdr:rowOff>95251</xdr:rowOff>
    </xdr:from>
    <xdr:to>
      <xdr:col>11</xdr:col>
      <xdr:colOff>571501</xdr:colOff>
      <xdr:row>31</xdr:row>
      <xdr:rowOff>11206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11d80c5cf1947df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6</xdr:col>
      <xdr:colOff>593912</xdr:colOff>
      <xdr:row>20</xdr:row>
      <xdr:rowOff>23811</xdr:rowOff>
    </xdr:from>
    <xdr:to>
      <xdr:col>11</xdr:col>
      <xdr:colOff>1761</xdr:colOff>
      <xdr:row>34</xdr:row>
      <xdr:rowOff>123265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e97a72a27b0420c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4</xdr:col>
      <xdr:colOff>351385</xdr:colOff>
      <xdr:row>1</xdr:row>
      <xdr:rowOff>513871</xdr:rowOff>
    </xdr:from>
    <xdr:to>
      <xdr:col>15</xdr:col>
      <xdr:colOff>68036</xdr:colOff>
      <xdr:row>26</xdr:row>
      <xdr:rowOff>163284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1f4fb6c75394a0b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>
  <xdr:twoCellAnchor>
    <xdr:from>
      <xdr:col>7</xdr:col>
      <xdr:colOff>281750</xdr:colOff>
      <xdr:row>15</xdr:row>
      <xdr:rowOff>95251</xdr:rowOff>
    </xdr:from>
    <xdr:to>
      <xdr:col>11</xdr:col>
      <xdr:colOff>571501</xdr:colOff>
      <xdr:row>31</xdr:row>
      <xdr:rowOff>11206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aa5d9d5269440b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>
  <xdr:twoCellAnchor>
    <xdr:from>
      <xdr:col>6</xdr:col>
      <xdr:colOff>367393</xdr:colOff>
      <xdr:row>20</xdr:row>
      <xdr:rowOff>1398</xdr:rowOff>
    </xdr:from>
    <xdr:to>
      <xdr:col>11</xdr:col>
      <xdr:colOff>0</xdr:colOff>
      <xdr:row>34</xdr:row>
      <xdr:rowOff>56028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b94aacf04ad4c00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>
  <xdr:twoCellAnchor>
    <xdr:from>
      <xdr:col>4</xdr:col>
      <xdr:colOff>446634</xdr:colOff>
      <xdr:row>2</xdr:row>
      <xdr:rowOff>24014</xdr:rowOff>
    </xdr:from>
    <xdr:to>
      <xdr:col>10</xdr:col>
      <xdr:colOff>424222</xdr:colOff>
      <xdr:row>14</xdr:row>
      <xdr:rowOff>801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38b5313a4c94a6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>
  <xdr:twoCellAnchor>
    <xdr:from>
      <xdr:col>7</xdr:col>
      <xdr:colOff>281750</xdr:colOff>
      <xdr:row>15</xdr:row>
      <xdr:rowOff>95251</xdr:rowOff>
    </xdr:from>
    <xdr:to>
      <xdr:col>11</xdr:col>
      <xdr:colOff>571501</xdr:colOff>
      <xdr:row>31</xdr:row>
      <xdr:rowOff>11206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0ec2fdea80e4bb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>
  <xdr:twoCellAnchor>
    <xdr:from>
      <xdr:col>5</xdr:col>
      <xdr:colOff>916481</xdr:colOff>
      <xdr:row>18</xdr:row>
      <xdr:rowOff>11205</xdr:rowOff>
    </xdr:from>
    <xdr:to>
      <xdr:col>9</xdr:col>
      <xdr:colOff>302560</xdr:colOff>
      <xdr:row>31</xdr:row>
      <xdr:rowOff>123263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e270aa1005b4ef0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>
  <xdr:twoCellAnchor>
    <xdr:from>
      <xdr:col>4</xdr:col>
      <xdr:colOff>378599</xdr:colOff>
      <xdr:row>2</xdr:row>
      <xdr:rowOff>92049</xdr:rowOff>
    </xdr:from>
    <xdr:to>
      <xdr:col>14</xdr:col>
      <xdr:colOff>40822</xdr:colOff>
      <xdr:row>23</xdr:row>
      <xdr:rowOff>95250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b194d2d79a24454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>
  <xdr:twoCellAnchor>
    <xdr:from>
      <xdr:col>7</xdr:col>
      <xdr:colOff>281750</xdr:colOff>
      <xdr:row>15</xdr:row>
      <xdr:rowOff>95251</xdr:rowOff>
    </xdr:from>
    <xdr:to>
      <xdr:col>11</xdr:col>
      <xdr:colOff>571501</xdr:colOff>
      <xdr:row>31</xdr:row>
      <xdr:rowOff>11206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c7d76400b0f48e8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>
  <xdr:twoCellAnchor>
    <xdr:from>
      <xdr:col>5</xdr:col>
      <xdr:colOff>266540</xdr:colOff>
      <xdr:row>19</xdr:row>
      <xdr:rowOff>208197</xdr:rowOff>
    </xdr:from>
    <xdr:to>
      <xdr:col>9</xdr:col>
      <xdr:colOff>521583</xdr:colOff>
      <xdr:row>33</xdr:row>
      <xdr:rowOff>6111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b014e77238440e7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>
  <xdr:twoCellAnchor>
    <xdr:from>
      <xdr:col>4</xdr:col>
      <xdr:colOff>496115</xdr:colOff>
      <xdr:row>2</xdr:row>
      <xdr:rowOff>88339</xdr:rowOff>
    </xdr:from>
    <xdr:to>
      <xdr:col>14</xdr:col>
      <xdr:colOff>86591</xdr:colOff>
      <xdr:row>27</xdr:row>
      <xdr:rowOff>51955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22e8c5fd8984095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>
  <xdr:twoCellAnchor>
    <xdr:from>
      <xdr:col>7</xdr:col>
      <xdr:colOff>281750</xdr:colOff>
      <xdr:row>15</xdr:row>
      <xdr:rowOff>95251</xdr:rowOff>
    </xdr:from>
    <xdr:to>
      <xdr:col>11</xdr:col>
      <xdr:colOff>571501</xdr:colOff>
      <xdr:row>31</xdr:row>
      <xdr:rowOff>11206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e5e038ea28f4403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>
  <xdr:twoCellAnchor>
    <xdr:from>
      <xdr:col>5</xdr:col>
      <xdr:colOff>288952</xdr:colOff>
      <xdr:row>19</xdr:row>
      <xdr:rowOff>208199</xdr:rowOff>
    </xdr:from>
    <xdr:to>
      <xdr:col>9</xdr:col>
      <xdr:colOff>527695</xdr:colOff>
      <xdr:row>33</xdr:row>
      <xdr:rowOff>58066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6adb42884584b30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>
  <xdr:twoCellAnchor>
    <xdr:from>
      <xdr:col>4</xdr:col>
      <xdr:colOff>461479</xdr:colOff>
      <xdr:row>2</xdr:row>
      <xdr:rowOff>122975</xdr:rowOff>
    </xdr:from>
    <xdr:to>
      <xdr:col>10</xdr:col>
      <xdr:colOff>439067</xdr:colOff>
      <xdr:row>14</xdr:row>
      <xdr:rowOff>105947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bb68fbd5d074c6a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>
  <xdr:twoCellAnchor>
    <xdr:from>
      <xdr:col>7</xdr:col>
      <xdr:colOff>281750</xdr:colOff>
      <xdr:row>15</xdr:row>
      <xdr:rowOff>95251</xdr:rowOff>
    </xdr:from>
    <xdr:to>
      <xdr:col>11</xdr:col>
      <xdr:colOff>571501</xdr:colOff>
      <xdr:row>31</xdr:row>
      <xdr:rowOff>11206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b92a3b577294fc5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>
  <xdr:twoCellAnchor>
    <xdr:from>
      <xdr:col>5</xdr:col>
      <xdr:colOff>288952</xdr:colOff>
      <xdr:row>20</xdr:row>
      <xdr:rowOff>6492</xdr:rowOff>
    </xdr:from>
    <xdr:to>
      <xdr:col>9</xdr:col>
      <xdr:colOff>527695</xdr:colOff>
      <xdr:row>34</xdr:row>
      <xdr:rowOff>86590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869f39352ec4bb6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>
  <xdr:twoCellAnchor>
    <xdr:from>
      <xdr:col>4</xdr:col>
      <xdr:colOff>409524</xdr:colOff>
      <xdr:row>2</xdr:row>
      <xdr:rowOff>53702</xdr:rowOff>
    </xdr:from>
    <xdr:to>
      <xdr:col>14</xdr:col>
      <xdr:colOff>17318</xdr:colOff>
      <xdr:row>26</xdr:row>
      <xdr:rowOff>155864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542d46939994a35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>
  <xdr:twoCellAnchor>
    <xdr:from>
      <xdr:col>7</xdr:col>
      <xdr:colOff>203309</xdr:colOff>
      <xdr:row>12</xdr:row>
      <xdr:rowOff>152081</xdr:rowOff>
    </xdr:from>
    <xdr:to>
      <xdr:col>12</xdr:col>
      <xdr:colOff>581105</xdr:colOff>
      <xdr:row>31</xdr:row>
      <xdr:rowOff>1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8cf1e77c21c4560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>
  <xdr:twoCellAnchor>
    <xdr:from>
      <xdr:col>5</xdr:col>
      <xdr:colOff>367393</xdr:colOff>
      <xdr:row>19</xdr:row>
      <xdr:rowOff>214311</xdr:rowOff>
    </xdr:from>
    <xdr:to>
      <xdr:col>9</xdr:col>
      <xdr:colOff>0</xdr:colOff>
      <xdr:row>31</xdr:row>
      <xdr:rowOff>190499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1933d6d63754666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>
  <xdr:twoCellAnchor>
    <xdr:from>
      <xdr:col>4</xdr:col>
      <xdr:colOff>357569</xdr:colOff>
      <xdr:row>2</xdr:row>
      <xdr:rowOff>105656</xdr:rowOff>
    </xdr:from>
    <xdr:to>
      <xdr:col>14</xdr:col>
      <xdr:colOff>0</xdr:colOff>
      <xdr:row>26</xdr:row>
      <xdr:rowOff>51955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216572583c2413a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>
  <xdr:twoCellAnchor>
    <xdr:from>
      <xdr:col>7</xdr:col>
      <xdr:colOff>281750</xdr:colOff>
      <xdr:row>15</xdr:row>
      <xdr:rowOff>95251</xdr:rowOff>
    </xdr:from>
    <xdr:to>
      <xdr:col>11</xdr:col>
      <xdr:colOff>571501</xdr:colOff>
      <xdr:row>31</xdr:row>
      <xdr:rowOff>11206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944046a003d457c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>
  <xdr:twoCellAnchor>
    <xdr:from>
      <xdr:col>6</xdr:col>
      <xdr:colOff>367393</xdr:colOff>
      <xdr:row>19</xdr:row>
      <xdr:rowOff>214311</xdr:rowOff>
    </xdr:from>
    <xdr:to>
      <xdr:col>10</xdr:col>
      <xdr:colOff>0</xdr:colOff>
      <xdr:row>31</xdr:row>
      <xdr:rowOff>190499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5aa6b75aa354c6e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>
  <xdr:twoCellAnchor>
    <xdr:from>
      <xdr:col>4</xdr:col>
      <xdr:colOff>565388</xdr:colOff>
      <xdr:row>1</xdr:row>
      <xdr:rowOff>521293</xdr:rowOff>
    </xdr:from>
    <xdr:to>
      <xdr:col>14</xdr:col>
      <xdr:colOff>86591</xdr:colOff>
      <xdr:row>25</xdr:row>
      <xdr:rowOff>69272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1c43174bfe94c49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>
  <xdr:twoCellAnchor>
    <xdr:from>
      <xdr:col>7</xdr:col>
      <xdr:colOff>281750</xdr:colOff>
      <xdr:row>15</xdr:row>
      <xdr:rowOff>95251</xdr:rowOff>
    </xdr:from>
    <xdr:to>
      <xdr:col>11</xdr:col>
      <xdr:colOff>571501</xdr:colOff>
      <xdr:row>31</xdr:row>
      <xdr:rowOff>11206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4d158171edd465f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>
  <xdr:twoCellAnchor>
    <xdr:from>
      <xdr:col>6</xdr:col>
      <xdr:colOff>322570</xdr:colOff>
      <xdr:row>20</xdr:row>
      <xdr:rowOff>6492</xdr:rowOff>
    </xdr:from>
    <xdr:to>
      <xdr:col>10</xdr:col>
      <xdr:colOff>543995</xdr:colOff>
      <xdr:row>33</xdr:row>
      <xdr:rowOff>190499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9ec619210cb43cf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>
  <xdr:twoCellAnchor>
    <xdr:from>
      <xdr:col>5</xdr:col>
      <xdr:colOff>184387</xdr:colOff>
      <xdr:row>2</xdr:row>
      <xdr:rowOff>88338</xdr:rowOff>
    </xdr:from>
    <xdr:to>
      <xdr:col>13</xdr:col>
      <xdr:colOff>582705</xdr:colOff>
      <xdr:row>21</xdr:row>
      <xdr:rowOff>168088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cc4dc8bac314d7a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>
  <xdr:twoCellAnchor>
    <xdr:from>
      <xdr:col>7</xdr:col>
      <xdr:colOff>281750</xdr:colOff>
      <xdr:row>15</xdr:row>
      <xdr:rowOff>95251</xdr:rowOff>
    </xdr:from>
    <xdr:to>
      <xdr:col>11</xdr:col>
      <xdr:colOff>571501</xdr:colOff>
      <xdr:row>31</xdr:row>
      <xdr:rowOff>11206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49246736ecf4690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>
  <xdr:twoCellAnchor>
    <xdr:from>
      <xdr:col>6</xdr:col>
      <xdr:colOff>367392</xdr:colOff>
      <xdr:row>15</xdr:row>
      <xdr:rowOff>168089</xdr:rowOff>
    </xdr:from>
    <xdr:to>
      <xdr:col>10</xdr:col>
      <xdr:colOff>123265</xdr:colOff>
      <xdr:row>31</xdr:row>
      <xdr:rowOff>190499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37a4f9b173942bd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>
  <xdr:twoCellAnchor>
    <xdr:from>
      <xdr:col>4</xdr:col>
      <xdr:colOff>530751</xdr:colOff>
      <xdr:row>2</xdr:row>
      <xdr:rowOff>53702</xdr:rowOff>
    </xdr:from>
    <xdr:to>
      <xdr:col>14</xdr:col>
      <xdr:colOff>606136</xdr:colOff>
      <xdr:row>23</xdr:row>
      <xdr:rowOff>173182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ba421bab3114d32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>
  <xdr:twoCellAnchor>
    <xdr:from>
      <xdr:col>7</xdr:col>
      <xdr:colOff>281750</xdr:colOff>
      <xdr:row>15</xdr:row>
      <xdr:rowOff>95251</xdr:rowOff>
    </xdr:from>
    <xdr:to>
      <xdr:col>11</xdr:col>
      <xdr:colOff>571501</xdr:colOff>
      <xdr:row>31</xdr:row>
      <xdr:rowOff>11206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9556f27d6584981"/>
        </a:graphicData>
      </a:graphic>
    </xdr:graphicFrame>
    <xdr:clientData/>
  </xdr:twoCellAnchor>
</xdr:wsDr>
</file>

<file path=xl/drawings/drawing34.xml><?xml version="1.0" encoding="utf-8"?>
<xdr:wsDr xmlns:xdr="http://schemas.openxmlformats.org/drawingml/2006/spreadsheetDrawing">
  <xdr:twoCellAnchor>
    <xdr:from>
      <xdr:col>6</xdr:col>
      <xdr:colOff>367393</xdr:colOff>
      <xdr:row>19</xdr:row>
      <xdr:rowOff>214311</xdr:rowOff>
    </xdr:from>
    <xdr:to>
      <xdr:col>10</xdr:col>
      <xdr:colOff>0</xdr:colOff>
      <xdr:row>31</xdr:row>
      <xdr:rowOff>190499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fa114ef6d4946e3"/>
        </a:graphicData>
      </a:graphic>
    </xdr:graphicFrame>
    <xdr:clientData/>
  </xdr:twoCellAnchor>
</xdr:wsDr>
</file>

<file path=xl/drawings/drawing35.xml><?xml version="1.0" encoding="utf-8"?>
<xdr:wsDr xmlns:xdr="http://schemas.openxmlformats.org/drawingml/2006/spreadsheetDrawing">
  <xdr:twoCellAnchor>
    <xdr:from>
      <xdr:col>4</xdr:col>
      <xdr:colOff>600024</xdr:colOff>
      <xdr:row>2</xdr:row>
      <xdr:rowOff>1747</xdr:rowOff>
    </xdr:from>
    <xdr:to>
      <xdr:col>14</xdr:col>
      <xdr:colOff>606136</xdr:colOff>
      <xdr:row>25</xdr:row>
      <xdr:rowOff>103908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0be39d96029467b"/>
        </a:graphicData>
      </a:graphic>
    </xdr:graphicFrame>
    <xdr:clientData/>
  </xdr:twoCellAnchor>
</xdr:wsDr>
</file>

<file path=xl/drawings/drawing36.xml><?xml version="1.0" encoding="utf-8"?>
<xdr:wsDr xmlns:xdr="http://schemas.openxmlformats.org/drawingml/2006/spreadsheetDrawing">
  <xdr:twoCellAnchor>
    <xdr:from>
      <xdr:col>7</xdr:col>
      <xdr:colOff>405014</xdr:colOff>
      <xdr:row>16</xdr:row>
      <xdr:rowOff>140075</xdr:rowOff>
    </xdr:from>
    <xdr:to>
      <xdr:col>12</xdr:col>
      <xdr:colOff>537882</xdr:colOff>
      <xdr:row>31</xdr:row>
      <xdr:rowOff>56029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16ec2fdfa504328"/>
        </a:graphicData>
      </a:graphic>
    </xdr:graphicFrame>
    <xdr:clientData/>
  </xdr:twoCellAnchor>
</xdr:wsDr>
</file>

<file path=xl/drawings/drawing37.xml><?xml version="1.0" encoding="utf-8"?>
<xdr:wsDr xmlns:xdr="http://schemas.openxmlformats.org/drawingml/2006/spreadsheetDrawing">
  <xdr:twoCellAnchor>
    <xdr:from>
      <xdr:col>6</xdr:col>
      <xdr:colOff>367393</xdr:colOff>
      <xdr:row>15</xdr:row>
      <xdr:rowOff>190500</xdr:rowOff>
    </xdr:from>
    <xdr:to>
      <xdr:col>11</xdr:col>
      <xdr:colOff>204107</xdr:colOff>
      <xdr:row>31</xdr:row>
      <xdr:rowOff>190499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b784fa8183d4e71"/>
        </a:graphicData>
      </a:graphic>
    </xdr:graphicFrame>
    <xdr:clientData/>
  </xdr:twoCellAnchor>
</xdr:wsDr>
</file>

<file path=xl/drawings/drawing38.xml><?xml version="1.0" encoding="utf-8"?>
<xdr:wsDr xmlns:xdr="http://schemas.openxmlformats.org/drawingml/2006/spreadsheetDrawing">
  <xdr:twoCellAnchor>
    <xdr:from>
      <xdr:col>5</xdr:col>
      <xdr:colOff>28524</xdr:colOff>
      <xdr:row>1</xdr:row>
      <xdr:rowOff>521293</xdr:rowOff>
    </xdr:from>
    <xdr:to>
      <xdr:col>15</xdr:col>
      <xdr:colOff>34636</xdr:colOff>
      <xdr:row>26</xdr:row>
      <xdr:rowOff>103908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9fea169a5c6406a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Lennox Mukhawana" id="{3ECF544B-F847-4F36-BA3B-E3F3FA9535BE}"/>
  <xltc:person displayName="27796601181" id="{09AB070E-D3AF-7248-ACD5-94EE14408B87}"/>
  <xltc:person displayName="Lennox Mukhawana" id="{33A483A9-B314-FCA3-6B70-BCD3B8F6BF24}"/>
  <xltc:person displayName="27796601181" id="{D06066A8-7B04-2B6B-84E2-218B96B3956F}"/>
  <xltc:person displayName="Lennox Mukhawana" id="{E8C17F77-7B75-8BB4-6292-CEFC06E29EDF}"/>
  <xltc:person displayName="27796601181" id="{5E301A18-A4DD-314C-3833-01F85A6A468D}"/>
  <xltc:person displayName="Lennox Mukhawana" id="{85AD0F9E-34B5-B954-959F-6D1A4328F03A}"/>
  <xltc:person displayName="27796601181" id="{90997802-E721-6EC6-A359-61AC73F267F7}"/>
  <xltc:person displayName="27796601181" id="{7BF25465-5D8A-7644-EEE4-A964ABEFE66A}"/>
  <xltc:person displayName="Lennox Mukhawana" id="{6069B519-BD3D-EF56-03DC-601085FEECD5}"/>
  <xltc:person displayName="Lennox Mukhawana" id="{F6C151BC-626A-F2D9-E60B-CB0B6CFC0B12}"/>
  <xltc:person displayName="27796601181" id="{DD6B770A-BB0C-1CE0-B43D-2CE1B43F1950}"/>
  <xltc:person displayName="Lennox Mukhawana" id="{7353805E-DE6A-F7A5-2109-3F34EF4E8F01}"/>
  <xltc:person displayName="27796601181" id="{F99A9435-F046-E167-A155-15D3541F9172}"/>
  <xltc:person displayName="27796601181" id="{9258ECAF-EF8C-CFF6-0F66-57572F256470}"/>
</xltc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e4c9db04316488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35580f05159049d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1.xml" Id="R5254b32e28494479" /><Relationship Type="http://schemas.openxmlformats.org/officeDocument/2006/relationships/vmlDrawing" Target="/xl/drawings/vmldrawing.vml" Id="Rb1303de8d877419f" /><Relationship Type="http://schemas.openxmlformats.org/officeDocument/2006/relationships/drawing" Target="/xl/drawings/drawing3.xml" Id="Reb7bcb4d23ca4e9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0e24161b36fc4e9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5.xml" Id="R69618f078e9a456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6.xml" Id="Reda99aeaeaa447e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7.xml" Id="R686d82e58f904cd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8.xml" Id="R2d43bc6d7eea419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9.xml" Id="R7d34b62edd784e2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0.xml" Id="R4e05e89cf4fe45d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1.xml" Id="R86cad615b4914aa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2.xml" Id="R3ac1288d65dc477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13.xml" Id="R89e1ca16bbaa4fd5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4.xml" Id="Rffdeceb5481f449e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drawing" Target="/xl/drawings/drawing15.xml" Id="R32806053853b4a67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6.xml" Id="Rceffed1e6fb2498f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drawing" Target="/xl/drawings/drawing17.xml" Id="R8a774456aa474ee2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8.xml" Id="R5b144e6aef104a6f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drawing" Target="/xl/drawings/drawing19.xml" Id="Ref67fca1e10c41b5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0.xml" Id="Re1c2c1b753d141bf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drawing" Target="/xl/drawings/drawing21.xml" Id="Rb647245872ef47a9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2.xml" Id="R6152eeb40f92409d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drawing" Target="/xl/drawings/drawing23.xml" Id="R72c7c2e57b8b4a29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4.xml" Id="Rfd61a5721ae84bbe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drawing" Target="/xl/drawings/drawing25.xml" Id="R7b04d022e26e4036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drawing" Target="/xl/drawings/drawing26.xml" Id="Rbc230412452e450f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drawing" Target="/xl/drawings/drawing27.xml" Id="R9e7d67d4ca104d16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drawing" Target="/xl/drawings/drawing28.xml" Id="Rc0ec807f377a4421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drawing" Target="/xl/drawings/drawing29.xml" Id="Rc0348faa52fb4753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drawing" Target="/xl/drawings/drawing30.xml" Id="Red09e346e92c4637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drawing" Target="/xl/drawings/drawing31.xml" Id="R6c486b1f8b9a41e7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drawing" Target="/xl/drawings/drawing32.xml" Id="R085101eb303e4bff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drawing" Target="/xl/drawings/drawing33.xml" Id="Rbd61a0f278a34d6f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drawing" Target="/xl/drawings/drawing34.xml" Id="Rb08b587c7e89438b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drawing" Target="/xl/drawings/drawing35.xml" Id="R1070a57889ab410f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drawing" Target="/xl/drawings/drawing36.xml" Id="Rd2b5dd6c673b4fe4" /></Relationships>
</file>

<file path=xl/worksheets/_rels/sheet37.xml.rels>&#65279;<?xml version="1.0" encoding="utf-8"?><Relationships xmlns="http://schemas.openxmlformats.org/package/2006/relationships"><Relationship Type="http://schemas.openxmlformats.org/officeDocument/2006/relationships/drawing" Target="/xl/drawings/drawing37.xml" Id="R0991f08cf7354e80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drawing" Target="/xl/drawings/drawing38.xml" Id="R81d88953ba404dfd" /></Relationships>
</file>

<file path=xl/worksheets/sheet1.xml><?xml version="1.0" encoding="utf-8"?>
<x:worksheet xmlns:x="http://schemas.openxmlformats.org/spreadsheetml/2006/main">
  <x:sheetFormatPr defaultRowHeight="15"/>
  <x:cols>
    <x:col min="1" max="1" width="11.85546875" customWidth="1"/>
    <x:col min="16" max="16" width="13.42578125" customWidth="1"/>
    <x:col min="17" max="17" width="9.140625" customWidth="1"/>
  </x:cols>
  <x:sheetData/>
  <x:pageMargins left="0.7" right="0.7" top="0.75" bottom="0.75" header="0.3" footer="0.3"/>
  <x:drawing xmlns:r="http://schemas.openxmlformats.org/officeDocument/2006/relationships" r:id="R6e4c9db04316488c"/>
</x:worksheet>
</file>

<file path=xl/worksheets/sheet2.xml><?xml version="1.0" encoding="utf-8"?>
<x:worksheet xmlns:x="http://schemas.openxmlformats.org/spreadsheetml/2006/main">
  <x:sheetPr>
    <x:tabColor rgb="FF00B050"/>
  </x:sheetPr>
  <x:sheetFormatPr defaultRowHeight="15"/>
  <x:cols>
    <x:col min="1" max="1" width="14.5703125" customWidth="1"/>
    <x:col min="2" max="2" width="14.140625" customWidth="1"/>
    <x:col min="3" max="3" width="14" customWidth="1"/>
    <x:col min="4" max="4" width="12.85546875" customWidth="1"/>
    <x:col min="5" max="5" width="12.42578125" customWidth="1"/>
    <x:col min="6" max="6" width="12.7109375" customWidth="1"/>
    <x:col min="7" max="7" width="11.7109375" customWidth="1"/>
    <x:col min="8" max="8" width="13.140625" customWidth="1"/>
    <x:col min="9" max="9" width="15.28515625" customWidth="1"/>
    <x:col min="10" max="10" width="13.5703125" customWidth="1"/>
    <x:col min="11" max="11" width="12.42578125" customWidth="1"/>
    <x:col min="12" max="12" width="12.85546875" customWidth="1"/>
    <x:col min="13" max="13" width="12.42578125" customWidth="1"/>
    <x:col min="14" max="14" width="12.85546875" customWidth="1"/>
    <x:col min="17" max="17" width="10.5703125" customWidth="1"/>
    <x:col min="19" max="19" width="10.28515625" customWidth="1"/>
  </x:cols>
  <x:sheetData>
    <x:row r="1" ht="21" customHeight="1">
      <x:c r="A1" s="138" t="s">
        <x:v>0</x:v>
      </x:c>
      <x:c r="B1" s="138"/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</x:row>
    <x:row r="2">
      <x:c r="A2" s="39" t="s">
        <x:v>1</x:v>
      </x:c>
      <x:c r="B2" s="49" t="str">
        <x:f>IF('CLEANSTEP MARCH 2026'!B7="","",'CLEANSTEP MARCH 2026'!B7)</x:f>
      </x:c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</x:row>
    <x:row r="3">
      <x:c r="A3" s="39" t="s">
        <x:v>2</x:v>
      </x:c>
      <x:c r="B3" s="49" t="str">
        <x:f>IF('CLEANSTEP APRIL 2026 (2)'!B7="","",'CLEANSTEP APRIL 2026 (2)'!B7)</x:f>
      </x:c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</x:row>
    <x:row r="4">
      <x:c r="A4" s="39" t="s">
        <x:v>3</x:v>
      </x:c>
      <x:c r="B4" s="49" t="str">
        <x:f>IF('CLEANSTEP MAY 2026 (3)'!B7="","",'CLEANSTEP MAY 2026 (3)'!B7)</x:f>
      </x:c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</x:row>
    <x:row r="5">
      <x:c r="A5" s="39" t="s">
        <x:v>4</x:v>
      </x:c>
      <x:c r="B5" s="49" t="str">
        <x:f>IF('CLEANSTEP JUNE 2026 (4)'!B7="","",'CLEANSTEP JUNE 2026 (4)'!B7)</x:f>
      </x:c>
      <x:c r="C5"/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</x:row>
    <x:row r="6">
      <x:c r="A6" s="39" t="s">
        <x:v>5</x:v>
      </x:c>
      <x:c r="B6" s="49" t="str">
        <x:f>IF('CLEANSTEP JULY 2026 (5)'!B7="","",'CLEANSTEP JULY 2026 (5)'!B7)</x:f>
      </x:c>
      <x:c r="C6"/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</x:row>
    <x:row r="7">
      <x:c r="A7" s="39" t="s">
        <x:v>6</x:v>
      </x:c>
      <x:c r="B7" s="49" t="str">
        <x:f>IF('CLEANSTEP AUGUST 2026 (6)'!B7="","",'CLEANSTEP AUGUST 2026 (6)'!B7)</x:f>
      </x:c>
      <x:c r="C7"/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</x:row>
    <x:row r="8">
      <x:c r="A8" s="39" t="s">
        <x:v>7</x:v>
      </x:c>
      <x:c r="B8" s="49" t="str">
        <x:f>IF('CLEANSTEP SEPTEMBER 2026 (7)'!B7="","",'CLEANSTEP SEPTEMBER 2026 (7)'!B7)</x:f>
      </x:c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</x:row>
    <x:row r="9">
      <x:c r="A9" s="39" t="s">
        <x:v>8</x:v>
      </x:c>
      <x:c r="B9" s="49" t="str">
        <x:f>IF('CLEANSTEP OCTOBER 2026 (8)'!B7="","",'CLEANSTEP OCTOBER 2026 (8)'!B7)</x:f>
      </x:c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</x:row>
    <x:row r="10">
      <x:c r="A10" s="39" t="s">
        <x:v>9</x:v>
      </x:c>
      <x:c r="B10" s="131" t="str">
        <x:f>IF('CLEANSTEP NOVEMBER 2026 (9)'!B7="","",'CLEANSTEP NOVEMBER 2026 (9)'!B7)</x:f>
      </x:c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</x:row>
    <x:row r="11">
      <x:c r="A11" s="39" t="s">
        <x:v>10</x:v>
      </x:c>
      <x:c r="B11" s="49" t="str">
        <x:f>IF('CLEANSTEP DECEMBER 2026 (10)'!B7="","",'CLEANSTEP DECEMBER 2026 (10)'!B7)</x:f>
      </x:c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</x:row>
    <x:row r="12">
      <x:c r="A12" s="39" t="s">
        <x:v>11</x:v>
      </x:c>
      <x:c r="B12" s="131" t="str">
        <x:f>IF('CLEANSTEP JANUARY 2027 (11)'!B7="","",'CLEANSTEP JANUARY 2027 (11)'!B7)</x:f>
      </x:c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</x:row>
    <x:row r="13">
      <x:c r="A13" s="39" t="s">
        <x:v>12</x:v>
      </x:c>
      <x:c r="B13" s="131" t="str">
        <x:f>IF('CLEANSTEP FEBRUARY 2027 (12)'!B7="","",'CLEANSTEP FEBRUARY 2027 (12)'!B7)</x:f>
      </x:c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</x:row>
    <x:row r="14">
      <x:c r="A14" s="39"/>
      <x:c r="B14" s="50" t="str">
        <x:f>IF(SUM(B2:B13)=0,"",SUM(B2:B13))</x:f>
      </x:c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</x:row>
    <x:row r="1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</x:row>
    <x:row r="16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</x:row>
    <x:row r="17">
      <x:c r="A17"/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</x:row>
    <x:row r="18" ht="24" customHeight="1">
      <x:c r="A18" s="136" t="s">
        <x:v>13</x:v>
      </x:c>
      <x:c r="B18" s="136"/>
      <x:c r="C18" s="137"/>
      <x:c r="D18" s="136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</x:row>
    <x:row r="19">
      <x:c r="A19" s="62" t="s">
        <x:v>14</x:v>
      </x:c>
      <x:c r="B19" s="62" t="s">
        <x:v>1</x:v>
      </x:c>
      <x:c r="C19" s="62" t="s">
        <x:v>2</x:v>
      </x:c>
      <x:c r="D19" s="62" t="s">
        <x:v>3</x:v>
      </x:c>
      <x:c r="E19" s="62" t="s">
        <x:v>4</x:v>
      </x:c>
      <x:c r="F19" s="62" t="s">
        <x:v>5</x:v>
      </x:c>
      <x:c r="G19" s="62" t="s">
        <x:v>6</x:v>
      </x:c>
      <x:c r="H19" s="62" t="s">
        <x:v>7</x:v>
      </x:c>
      <x:c r="I19" s="62" t="s">
        <x:v>8</x:v>
      </x:c>
      <x:c r="J19" s="62" t="s">
        <x:v>9</x:v>
      </x:c>
      <x:c r="K19" s="62" t="s">
        <x:v>10</x:v>
      </x:c>
      <x:c r="L19" s="62" t="s">
        <x:v>11</x:v>
      </x:c>
      <x:c r="M19" s="62" t="s">
        <x:v>12</x:v>
      </x:c>
      <x:c r="N19" s="62" t="s">
        <x:v>15</x:v>
      </x:c>
      <x:c r="O19"/>
      <x:c r="P19"/>
      <x:c r="Q19"/>
      <x:c r="R19"/>
      <x:c r="S19"/>
    </x:row>
    <x:row r="20">
      <x:c r="A20" s="39" t="s">
        <x:v>16</x:v>
      </x:c>
      <x:c r="B20" s="61" t="str">
        <x:f>IF('SHOP MARCH 2026'!C40="","",'SHOP MARCH 2026'!C40)</x:f>
      </x:c>
      <x:c r="C20" s="61" t="str">
        <x:f>IF('SHOP APRIL 2026 (2)'!C40="","",'SHOP APRIL 2026 (2)'!C40)</x:f>
      </x:c>
      <x:c r="D20" s="61" t="str">
        <x:f>IF('SHOP MAY 2026 (3)'!C40="","",'SHOP MAY 2026 (3)'!C40)</x:f>
      </x:c>
      <x:c r="E20" s="61" t="str">
        <x:f>IF('SHOP JUNE 2026 (4)'!C40="","",'SHOP JUNE 2026 (4)'!C40)</x:f>
      </x:c>
      <x:c r="F20" s="61" t="str">
        <x:f>IF('SHOP JULY 2026 (5)'!C40="","",'SHOP JULY 2026 (5)'!C40)</x:f>
      </x:c>
      <x:c r="G20" s="61" t="str">
        <x:f>IF('SHOP AUGUST 2026 (6)'!C40="","",'SHOP AUGUST 2026 (6)'!C40)</x:f>
      </x:c>
      <x:c r="H20" s="61" t="str">
        <x:f>IF('SHOP SEPTEMBER 2026 (7)'!C40="","",'SHOP SEPTEMBER 2026 (7)'!C40)</x:f>
      </x:c>
      <x:c r="I20" s="61" t="str">
        <x:f>IF('SHOP OCTOBER 2026 (8)'!C40="","",'SHOP OCTOBER 2026 (8)'!C40)</x:f>
      </x:c>
      <x:c r="J20" s="61" t="str">
        <x:f>IF('SHOP NOVEMBER 2026 (9)'!C40="","",'SHOP NOVEMBER 2026 (9)'!C40)</x:f>
      </x:c>
      <x:c r="K20" s="61" t="str">
        <x:f>IF('SHOP DECEMBER 2026 (10)'!C40="","",'SHOP DECEMBER 2026 (10)'!C40)</x:f>
      </x:c>
      <x:c r="L20" s="61" t="str">
        <x:f>IF('SHOP JANUARY 2027 (11)'!C40="","",'SHOP JANUARY 2027 (11)'!C40)</x:f>
      </x:c>
      <x:c r="M20" s="61" t="str">
        <x:f>IF('SHOP FEBRUARY 2027 (12)'!C40="","",'SHOP FEBRUARY 2027 (12)'!C40)</x:f>
      </x:c>
      <x:c r="N20" s="65" t="str">
        <x:f t="shared" ref="N20:N21" si="0">IF(SUM(B20:M20)=0,"",SUM(B20:M20))</x:f>
      </x:c>
      <x:c r="O20"/>
      <x:c r="P20"/>
      <x:c r="Q20"/>
      <x:c r="R20"/>
      <x:c r="S20"/>
    </x:row>
    <x:row r="21">
      <x:c r="A21" s="39" t="s">
        <x:v>17</x:v>
      </x:c>
      <x:c r="B21" s="61" t="str">
        <x:f>IF('SHOP MARCH 2026'!D40="","",'SHOP MARCH 2026'!D40)</x:f>
      </x:c>
      <x:c r="C21" s="61" t="str">
        <x:f>IF('SHOP APRIL 2026 (2)'!D40="","",'SHOP APRIL 2026 (2)'!D40)</x:f>
      </x:c>
      <x:c r="D21" s="61" t="str">
        <x:f>IF('SHOP MAY 2026 (3)'!D40="","",'SHOP MAY 2026 (3)'!D40)</x:f>
      </x:c>
      <x:c r="E21" s="61" t="str">
        <x:f>IF('SHOP JUNE 2026 (4)'!D40="","",'SHOP JUNE 2026 (4)'!D40)</x:f>
      </x:c>
      <x:c r="F21" s="61" t="str">
        <x:f>IF('SHOP JULY 2026 (5)'!D40="","",'SHOP JULY 2026 (5)'!D40)</x:f>
      </x:c>
      <x:c r="G21" s="61" t="str">
        <x:f>IF('SHOP AUGUST 2026 (6)'!D40="","",'SHOP AUGUST 2026 (6)'!D40)</x:f>
      </x:c>
      <x:c r="H21" s="61" t="str">
        <x:f>IF('SHOP SEPTEMBER 2026 (7)'!D40="","",'SHOP SEPTEMBER 2026 (7)'!D40)</x:f>
      </x:c>
      <x:c r="I21" s="61" t="str">
        <x:f>IF('SHOP OCTOBER 2026 (8)'!D40="","",'SHOP OCTOBER 2026 (8)'!D40)</x:f>
      </x:c>
      <x:c r="J21" s="61" t="str">
        <x:f>IF('SHOP NOVEMBER 2026 (9)'!D40="","",'SHOP NOVEMBER 2026 (9)'!D40)</x:f>
      </x:c>
      <x:c r="K21" s="61" t="str">
        <x:f>IF('SHOP DECEMBER 2026 (10)'!D40="","",'SHOP DECEMBER 2026 (10)'!D40)</x:f>
      </x:c>
      <x:c r="L21" s="61" t="str">
        <x:f>IF('SHOP JANUARY 2027 (11)'!D40="","",'SHOP JANUARY 2027 (11)'!D40)</x:f>
      </x:c>
      <x:c r="M21" s="61" t="str">
        <x:f>IF('SHOP FEBRUARY 2027 (12)'!D40="","",'SHOP FEBRUARY 2027 (12)'!D40)</x:f>
      </x:c>
      <x:c r="N21" s="65" t="str">
        <x:f t="shared" si="0">IF(SUM(B21:M21)=0,"",SUM(B21:M21))</x:f>
      </x:c>
      <x:c r="O21"/>
      <x:c r="P21"/>
      <x:c r="Q21"/>
      <x:c r="R21"/>
      <x:c r="S21"/>
    </x:row>
    <x:row r="22">
      <x:c r="A22" s="39" t="s">
        <x:v>18</x:v>
      </x:c>
      <x:c r="B22" s="61" t="str">
        <x:f>IF('SHOP MARCH 2026'!F39="","",'SHOP MARCH 2026'!F39)</x:f>
      </x:c>
      <x:c r="C22" s="61" t="str">
        <x:f>IF('SHOP APRIL 2026 (2)'!F39="","",'SHOP APRIL 2026 (2)'!F39)</x:f>
      </x:c>
      <x:c r="D22" s="61" t="str">
        <x:f>IF('SHOP MAY 2026 (3)'!F39="","",'SHOP MAY 2026 (3)'!F39)</x:f>
      </x:c>
      <x:c r="E22" s="61" t="str">
        <x:f>IF('SHOP JUNE 2026 (4)'!F39="","",'SHOP JUNE 2026 (4)'!F39)</x:f>
      </x:c>
      <x:c r="F22" s="61" t="str">
        <x:f>IF('SHOP JULY 2026 (5)'!F39="","",'SHOP JULY 2026 (5)'!F39)</x:f>
      </x:c>
      <x:c r="G22" s="61" t="str">
        <x:f>IF('SHOP AUGUST 2026 (6)'!F39="","",'SHOP AUGUST 2026 (6)'!F39)</x:f>
      </x:c>
      <x:c r="H22" s="61" t="str">
        <x:f>IF('SHOP SEPTEMBER 2026 (7)'!F39="","",'SHOP SEPTEMBER 2026 (7)'!F39)</x:f>
      </x:c>
      <x:c r="I22" s="61" t="str">
        <x:f>IF('SHOP OCTOBER 2026 (8)'!F39="","",'SHOP OCTOBER 2026 (8)'!F39)</x:f>
      </x:c>
      <x:c r="J22" s="61" t="str">
        <x:f>IF('SHOP NOVEMBER 2026 (9)'!F39="","",'SHOP NOVEMBER 2026 (9)'!F39)</x:f>
      </x:c>
      <x:c r="K22" s="61" t="str">
        <x:f>IF('SHOP DECEMBER 2026 (10)'!F39="","",'SHOP DECEMBER 2026 (10)'!F39)</x:f>
      </x:c>
      <x:c r="L22" s="61" t="str">
        <x:f>IF('SHOP JANUARY 2027 (11)'!F39="","",'SHOP JANUARY 2027 (11)'!F39)</x:f>
      </x:c>
      <x:c r="M22" s="61" t="str">
        <x:f>IF('SHOP FEBRUARY 2027 (12)'!F39="","",'SHOP FEBRUARY 2027 (12)'!F39)</x:f>
      </x:c>
      <x:c r="N22" s="65" t="str">
        <x:f>IF(SUM(B22:M22)=0,"",SUM(B22:M22))</x:f>
      </x:c>
      <x:c r="O22"/>
      <x:c r="P22"/>
      <x:c r="Q22"/>
      <x:c r="R22"/>
      <x:c r="S22"/>
    </x:row>
    <x:row r="23">
      <x:c r="A23" s="39" t="s">
        <x:v>19</x:v>
      </x:c>
      <x:c r="B23" s="61" t="str">
        <x:f>IF('SHOP MARCH 2026'!G39="","",'SHOP MARCH 2026'!G39)</x:f>
      </x:c>
      <x:c r="C23" s="61" t="str">
        <x:f>IF('SHOP APRIL 2026 (2)'!G39="","",'SHOP APRIL 2026 (2)'!G39)</x:f>
      </x:c>
      <x:c r="D23" s="61" t="str">
        <x:f>IF('SHOP MAY 2026 (3)'!G39="","",'SHOP MAY 2026 (3)'!G39)</x:f>
      </x:c>
      <x:c r="E23" s="64" t="str">
        <x:f>IF('SHOP JUNE 2026 (4)'!G39="","",'SHOP JUNE 2026 (4)'!G39)</x:f>
      </x:c>
      <x:c r="F23" s="61" t="str">
        <x:f>IF('SHOP JULY 2026 (5)'!G39="","",'SHOP JULY 2026 (5)'!G39)</x:f>
      </x:c>
      <x:c r="G23" s="61" t="str">
        <x:f>IF('SHOP AUGUST 2026 (6)'!G39="","",'SHOP AUGUST 2026 (6)'!G39)</x:f>
      </x:c>
      <x:c r="H23" s="61" t="str">
        <x:f>IF('SHOP SEPTEMBER 2026 (7)'!G39="","",'SHOP SEPTEMBER 2026 (7)'!G39)</x:f>
      </x:c>
      <x:c r="I23" s="61" t="str">
        <x:f>IF('SHOP OCTOBER 2026 (8)'!G39="","",'SHOP OCTOBER 2026 (8)'!G39)</x:f>
      </x:c>
      <x:c r="J23" s="61" t="str">
        <x:f>IF('SHOP NOVEMBER 2026 (9)'!G39="","",'SHOP NOVEMBER 2026 (9)'!G39)</x:f>
      </x:c>
      <x:c r="K23" s="61" t="str">
        <x:f>IF('SHOP DECEMBER 2026 (10)'!G39="","",'SHOP DECEMBER 2026 (10)'!G39)</x:f>
      </x:c>
      <x:c r="L23" s="61" t="str">
        <x:f>IF('SHOP JANUARY 2027 (11)'!G39="","",'SHOP JANUARY 2027 (11)'!G39)</x:f>
      </x:c>
      <x:c r="M23" s="61" t="str">
        <x:f>IF('SHOP FEBRUARY 2027 (12)'!G39="","",'SHOP FEBRUARY 2027 (12)'!G39)</x:f>
      </x:c>
      <x:c r="N23" s="65" t="str">
        <x:f t="shared" ref="N23:N24" si="1">IF(SUM(B23:M23)=0,"",SUM(B23:M23))</x:f>
      </x:c>
      <x:c r="O23"/>
      <x:c r="P23"/>
      <x:c r="Q23"/>
      <x:c r="R23"/>
      <x:c r="S23" s="127" t="n">
        <x:f>B10-J25</x:f>
        <x:v>0</x:v>
      </x:c>
    </x:row>
    <x:row r="24">
      <x:c r="A24" s="39" t="s">
        <x:v>20</x:v>
      </x:c>
      <x:c r="B24" s="61" t="str">
        <x:f>IF('THIRD PARTY MARCH 2026'!B39="","",'THIRD PARTY MARCH 2026'!B39)</x:f>
      </x:c>
      <x:c r="C24" s="61" t="str">
        <x:f>IF('THIRD PARTY APRIL 2026 (2)'!B39="","",'THIRD PARTY APRIL 2026 (2)'!B39)</x:f>
      </x:c>
      <x:c r="D24" s="61" t="str">
        <x:f>IF('THIRD PARTY MAY 2026 (3)'!B39="","",'THIRD PARTY MAY 2026 (3)'!B39)</x:f>
      </x:c>
      <x:c r="E24" s="61" t="str">
        <x:f>IF('THIRD PARTY JUNE 2026 (4)'!B39="","",'THIRD PARTY JUNE 2026 (4)'!B39)</x:f>
      </x:c>
      <x:c r="F24" s="61" t="str">
        <x:f>IF('THIRD PARTY JULY 2026 (5)'!B39="","",'THIRD PARTY JULY 2026 (5)'!B39)</x:f>
      </x:c>
      <x:c r="G24" s="61" t="str">
        <x:f>IF('THIRD PARTY AUGUST 2026 (6)'!B39="","",'THIRD PARTY AUGUST 2026 (6)'!B39)</x:f>
      </x:c>
      <x:c r="H24" s="61" t="str">
        <x:f>IF('THIRD PARTY SEPTEMBER 2026 (7)'!B39="","",'THIRD PARTY SEPTEMBER 2026 (7)'!B39)</x:f>
      </x:c>
      <x:c r="I24" s="61" t="str">
        <x:f>IF('THIRD PARTY OCTOBER 2026 (8)'!B39="","",'THIRD PARTY OCTOBER 2026 (8)'!B39)</x:f>
      </x:c>
      <x:c r="J24" s="61" t="str">
        <x:f>IF('THIRD PARTY NOVEMBER 2026 (9)'!B39="","",'THIRD PARTY NOVEMBER 2026 (9)'!B39)</x:f>
      </x:c>
      <x:c r="K24" s="61" t="str">
        <x:f>IF('THIRD PARTY DECEMBER 2026 (10)'!B39="","",'THIRD PARTY DECEMBER 2026 (10)'!B39)</x:f>
      </x:c>
      <x:c r="L24" s="61" t="str">
        <x:f>IF('THIRD PARTY JANUARY 2027 (11)'!B39="","",'THIRD PARTY JANUARY 2027 (11)'!B39)</x:f>
      </x:c>
      <x:c r="M24" s="61" t="str">
        <x:f>IF('THIRD PARTY FEBRUARY 2027 (12)'!B39="","",'THIRD PARTY FEBRUARY 2027 (12)'!B39)</x:f>
      </x:c>
      <x:c r="N24" s="65" t="str">
        <x:f t="shared" si="1">IF(SUM(B24:M24)=0,"",SUM(B24:M24))</x:f>
      </x:c>
      <x:c r="O24"/>
      <x:c r="P24"/>
      <x:c r="Q24"/>
      <x:c r="R24"/>
      <x:c r="S24" s="128" t="n">
        <x:f>B12-L25</x:f>
        <x:v>0</x:v>
      </x:c>
    </x:row>
    <x:row r="25">
      <x:c r="A25"/>
      <x:c r="B25" s="65" t="str">
        <x:f t="shared" ref="B25:M25" si="2">IF(SUM(B20:B24)=0,"",SUM(B20:B24))</x:f>
      </x:c>
      <x:c r="C25" s="65" t="str">
        <x:f t="shared" si="2">IF(SUM(C20:C24)=0,"",SUM(C20:C24))</x:f>
      </x:c>
      <x:c r="D25" s="65" t="str">
        <x:f t="shared" si="2">IF(SUM(D20:D24)=0,"",SUM(D20:D24))</x:f>
      </x:c>
      <x:c r="E25" s="65" t="str">
        <x:f t="shared" si="2">IF(SUM(E20:E24)=0,"",SUM(E20:E24))</x:f>
      </x:c>
      <x:c r="F25" s="65" t="str">
        <x:f t="shared" si="2">IF(SUM(F20:F24)=0,"",SUM(F20:F24))</x:f>
      </x:c>
      <x:c r="G25" s="65" t="str">
        <x:f t="shared" si="2">IF(SUM(G20:G24)=0,"",SUM(G20:G24))</x:f>
      </x:c>
      <x:c r="H25" s="65" t="str">
        <x:f t="shared" si="2">IF(SUM(H20:H24)=0,"",SUM(H20:H24))</x:f>
      </x:c>
      <x:c r="I25" s="65" t="str">
        <x:f t="shared" si="2">IF(SUM(I20:I24)=0,"",SUM(I20:I24))</x:f>
      </x:c>
      <x:c r="J25" s="65" t="str">
        <x:f>IF(SUM(J20:J24)=0,"",SUM(J20:J24))</x:f>
      </x:c>
      <x:c r="K25" s="65" t="str">
        <x:f t="shared" si="2">IF(SUM(K20:K24)=0,"",SUM(K20:K24))</x:f>
      </x:c>
      <x:c r="L25" s="65" t="str">
        <x:f t="shared" si="2">IF(SUM(L20:L24)=0,"",SUM(L20:L24))</x:f>
      </x:c>
      <x:c r="M25" s="65" t="str">
        <x:f t="shared" si="2">IF(SUM(M20:M24)=0,"",SUM(M20:M24))</x:f>
      </x:c>
      <x:c r="N25" s="65" t="str">
        <x:f>IF(SUM(N20:N24)=0,"",SUM(N20:N24))</x:f>
      </x:c>
      <x:c r="O25"/>
      <x:c r="P25"/>
      <x:c r="Q25"/>
      <x:c r="R25"/>
      <x:c r="S25" s="129" t="n">
        <x:f>B13-M25</x:f>
        <x:v>0</x:v>
      </x:c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 s="104"/>
      <x:c r="M27"/>
      <x:c r="N27"/>
      <x:c r="O27"/>
      <x:c r="P27"/>
      <x:c r="Q27"/>
      <x:c r="R27"/>
      <x:c r="S27" s="126" t="n">
        <x:f>SUM(S23:S26)</x:f>
        <x:v>0</x:v>
      </x:c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 s="104"/>
      <x:c r="M30" s="104"/>
      <x:c r="N30"/>
      <x:c r="O30"/>
      <x:c r="P30"/>
      <x:c r="Q30"/>
      <x:c r="R30"/>
      <x:c r="S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  <x:c r="M31" s="78" t="s">
        <x:v>14</x:v>
      </x:c>
      <x:c r="N31" s="78" t="s">
        <x:v>15</x:v>
      </x:c>
      <x:c r="O31" s="77"/>
      <x:c r="P31"/>
      <x:c r="Q31"/>
      <x:c r="R31"/>
      <x:c r="S31"/>
    </x:row>
    <x:row r="32">
      <x:c r="A32"/>
      <x:c r="B32"/>
      <x:c r="C32"/>
      <x:c r="D32"/>
      <x:c r="E32"/>
      <x:c r="F32"/>
      <x:c r="G32"/>
      <x:c r="H32"/>
      <x:c r="I32"/>
      <x:c r="J32"/>
      <x:c r="K32"/>
      <x:c r="L32"/>
      <x:c r="M32" s="77" t="s">
        <x:v>16</x:v>
      </x:c>
      <x:c r="N32" s="132" t="str">
        <x:f>IFERROR(N20/N25,"")</x:f>
      </x:c>
      <x:c r="O32" s="77"/>
      <x:c r="P32"/>
      <x:c r="Q32"/>
      <x:c r="R32"/>
      <x:c r="S32"/>
    </x:row>
    <x:row r="33">
      <x:c r="A33"/>
      <x:c r="B33"/>
      <x:c r="C33"/>
      <x:c r="D33"/>
      <x:c r="E33"/>
      <x:c r="F33"/>
      <x:c r="G33"/>
      <x:c r="H33"/>
      <x:c r="I33"/>
      <x:c r="J33"/>
      <x:c r="K33"/>
      <x:c r="L33"/>
      <x:c r="M33" s="77" t="s">
        <x:v>17</x:v>
      </x:c>
      <x:c r="N33" s="132" t="str">
        <x:f>IFERROR(N21/N25,"")</x:f>
      </x:c>
      <x:c r="O33" s="77"/>
      <x:c r="P33"/>
      <x:c r="Q33" s="126" t="n">
        <x:f>B14-N25</x:f>
        <x:v>0</x:v>
      </x:c>
      <x:c r="R33"/>
      <x:c r="S33"/>
    </x:row>
    <x:row r="34">
      <x:c r="A34"/>
      <x:c r="B34"/>
      <x:c r="C34"/>
      <x:c r="D34"/>
      <x:c r="E34"/>
      <x:c r="F34"/>
      <x:c r="G34"/>
      <x:c r="H34"/>
      <x:c r="I34"/>
      <x:c r="J34"/>
      <x:c r="K34"/>
      <x:c r="L34"/>
      <x:c r="M34" s="77" t="s">
        <x:v>18</x:v>
      </x:c>
      <x:c r="N34" s="132" t="str">
        <x:f>IFERROR(N22/N25,"")</x:f>
      </x:c>
      <x:c r="O34" s="77"/>
      <x:c r="P34"/>
      <x:c r="Q34"/>
      <x:c r="R34"/>
      <x:c r="S34"/>
    </x:row>
    <x:row r="35">
      <x:c r="A35"/>
      <x:c r="B35"/>
      <x:c r="C35"/>
      <x:c r="D35"/>
      <x:c r="E35"/>
      <x:c r="F35"/>
      <x:c r="G35"/>
      <x:c r="H35"/>
      <x:c r="I35"/>
      <x:c r="J35"/>
      <x:c r="K35"/>
      <x:c r="L35"/>
      <x:c r="M35" s="77" t="s">
        <x:v>19</x:v>
      </x:c>
      <x:c r="N35" s="132" t="str">
        <x:f>IFERROR(N23/N25,"")</x:f>
      </x:c>
      <x:c r="O35" s="77"/>
      <x:c r="P35"/>
      <x:c r="Q35"/>
      <x:c r="R35"/>
      <x:c r="S35"/>
    </x:row>
    <x:row r="36">
      <x:c r="A36"/>
      <x:c r="B36"/>
      <x:c r="C36"/>
      <x:c r="D36"/>
      <x:c r="E36"/>
      <x:c r="F36" s="60"/>
      <x:c r="G36"/>
      <x:c r="H36"/>
      <x:c r="I36"/>
      <x:c r="J36"/>
      <x:c r="K36"/>
      <x:c r="L36"/>
      <x:c r="M36" s="77" t="s">
        <x:v>20</x:v>
      </x:c>
      <x:c r="N36" s="132" t="str">
        <x:f>IFERROR(N24/N25,"")</x:f>
      </x:c>
      <x:c r="O36" s="77"/>
      <x:c r="P36"/>
      <x:c r="Q36"/>
      <x:c r="R36"/>
      <x:c r="S36"/>
    </x:row>
    <x:row r="37">
      <x:c r="F37" s="60"/>
      <x:c r="L37" s="77"/>
      <x:c r="M37" s="77"/>
      <x:c r="N37" s="77"/>
      <x:c r="O37" s="77"/>
    </x:row>
    <x:row r="38">
      <x:c r="F38" s="63"/>
      <x:c r="L38" s="77"/>
      <x:c r="M38" s="77"/>
      <x:c r="N38" s="77"/>
      <x:c r="O38" s="77"/>
    </x:row>
    <x:row r="39">
      <x:c r="L39" s="77"/>
    </x:row>
    <x:row r="40">
      <x:c r="L40" s="77"/>
    </x:row>
  </x:sheetData>
  <x:mergeCells>
    <x:mergeCell ref="A18:D18"/>
    <x:mergeCell ref="A1:B1"/>
  </x:mergeCells>
  <x:pageMargins left="0.7" right="0.7" top="0.75" bottom="0.75" header="0.3" footer="0.3"/>
  <x:drawing xmlns:r="http://schemas.openxmlformats.org/officeDocument/2006/relationships" r:id="R35580f05159049dc"/>
</x:worksheet>
</file>

<file path=xl/worksheets/sheet3.xml><?xml version="1.0" encoding="utf-8"?>
<x:worksheet xmlns:x="http://schemas.openxmlformats.org/spreadsheetml/2006/main">
  <x:sheetPr>
    <x:tabColor rgb="FF92D050"/>
  </x:sheetPr>
  <x:sheetFormatPr defaultRowHeight="15"/>
  <x:cols>
    <x:col min="1" max="1" width="23.28515625" style="14" customWidth="1"/>
    <x:col min="2" max="2" width="15.5703125" style="6" customWidth="1"/>
    <x:col min="3" max="3" width="19" customWidth="1"/>
    <x:col min="4" max="4" width="13.85546875" style="20" customWidth="1"/>
    <x:col min="5" max="5" width="20.5703125" style="20" customWidth="1"/>
    <x:col min="6" max="6" width="13.85546875" style="8" customWidth="1"/>
    <x:col min="7" max="7" width="13.85546875" style="9" customWidth="1"/>
    <x:col min="9" max="9" width="17" customWidth="1"/>
    <x:col min="10" max="10" width="13.140625" customWidth="1"/>
    <x:col min="11" max="11" width="9.140625" customWidth="1"/>
  </x:cols>
  <x:sheetData>
    <x:row r="2" ht="18">
      <x:c r="A2" s="16" t="str">
        <x:v>DAILY SALES (6B)  - MARCH 2026</x:v>
      </x:c>
      <x:c r="B2" s="16"/>
      <x:c r="C2" s="16"/>
      <x:c r="D2" s="18"/>
      <x:c r="E2" s="18"/>
      <x:c r="F2" s="16"/>
      <x:c r="G2" s="18"/>
      <x:c r="H2" s="16"/>
      <x:c r="I2" s="16"/>
      <x:c r="J2" s="16"/>
      <x:c r="K2" s="16"/>
      <x:c r="L2" s="16"/>
      <x:c r="M2" s="16"/>
      <x:c r="N2" s="16"/>
      <x:c r="O2" s="16"/>
    </x:row>
    <x:row r="3" ht="18">
      <x:c r="B3" s="24"/>
      <x:c r="C3" s="24"/>
      <x:c r="D3" s="18"/>
      <x:c r="E3" s="18"/>
      <x:c r="F3" s="24"/>
      <x:c r="G3" s="24"/>
      <x:c r="H3" s="24"/>
      <x:c r="I3" s="24"/>
      <x:c r="J3" s="24"/>
      <x:c r="K3" s="24"/>
      <x:c r="L3" s="24"/>
      <x:c r="M3" s="24"/>
      <x:c r="N3" s="24"/>
      <x:c r="O3" s="24"/>
    </x:row>
    <x:row r="4" ht="16.5">
      <x:c r="B4" s="11"/>
      <x:c r="C4" s="1"/>
      <x:c r="D4" s="19"/>
      <x:c r="E4" s="19"/>
      <x:c r="F4" s="12"/>
      <x:c r="G4" s="13"/>
      <x:c r="H4" s="1"/>
      <x:c r="I4" s="1"/>
      <x:c r="J4" s="1"/>
      <x:c r="K4" s="1"/>
      <x:c r="L4" s="1"/>
      <x:c r="M4" s="1"/>
      <x:c r="N4" s="1"/>
      <x:c r="O4" s="1"/>
    </x:row>
    <x:row r="5" ht="16.5">
      <x:c r="A5" s="21" t="s">
        <x:v>21</x:v>
      </x:c>
      <x:c r="B5" s="22" t="s">
        <x:v>22</x:v>
      </x:c>
      <x:c r="C5" s="106" t="s">
        <x:v>23</x:v>
      </x:c>
      <x:c r="D5" s="139" t="s">
        <x:v>24</x:v>
      </x:c>
      <x:c r="E5" s="140"/>
      <x:c r="F5" s="139" t="s">
        <x:v>25</x:v>
      </x:c>
      <x:c r="G5" s="141"/>
      <x:c r="H5" s="2"/>
      <x:c r="I5" s="135" t="s">
        <x:v>26</x:v>
      </x:c>
      <x:c r="J5" s="135"/>
      <x:c r="K5" s="135"/>
      <x:c r="L5" s="1"/>
      <x:c r="M5" s="1"/>
      <x:c r="N5" s="1"/>
      <x:c r="O5" s="1"/>
    </x:row>
    <x:row r="6" ht="16.5">
      <x:c r="A6" s="21"/>
      <x:c r="B6" s="22"/>
      <x:c r="C6" s="23"/>
      <x:c r="D6" s="26" t="s">
        <x:v>27</x:v>
      </x:c>
      <x:c r="E6" s="26" t="s">
        <x:v>28</x:v>
      </x:c>
      <x:c r="F6" s="26" t="s">
        <x:v>29</x:v>
      </x:c>
      <x:c r="G6" s="26" t="s">
        <x:v>30</x:v>
      </x:c>
      <x:c r="H6" s="2"/>
      <x:c r="I6" s="17"/>
      <x:c r="J6" s="17"/>
      <x:c r="K6" s="17"/>
      <x:c r="L6" s="1"/>
      <x:c r="M6" s="1"/>
      <x:c r="N6" s="1"/>
      <x:c r="O6" s="1"/>
    </x:row>
    <x:row r="7" ht="16.5">
      <x:c r="A7" s="15"/>
      <x:c r="B7" s="7"/>
      <x:c r="C7" s="5"/>
      <x:c r="D7" s="17"/>
      <x:c r="E7" s="17"/>
      <x:c r="F7" s="17"/>
      <x:c r="G7" s="17"/>
      <x:c r="H7" s="2"/>
      <x:c r="I7" s="17"/>
      <x:c r="J7" s="17"/>
      <x:c r="K7" s="17"/>
      <x:c r="L7" s="1"/>
      <x:c r="M7" s="1"/>
      <x:c r="N7" s="1"/>
      <x:c r="O7" s="1"/>
    </x:row>
    <x:row r="8" ht="16.5">
      <x:c r="A8" s="170" t="n">
        <x:v>46082</x:v>
      </x:c>
      <x:c r="B8" s="98" t="str">
        <x:f>IF(SUM(C8:G8)=0,"",SUM(C8:G8))</x:f>
      </x:c>
      <x:c r="C8" s="99"/>
      <x:c r="D8" s="100"/>
      <x:c r="E8" s="100"/>
      <x:c r="F8" s="99" t="str">
        <x:f>IF('RETAIL &amp; PRINT'!C11="","",'RETAIL &amp; PRINT'!C11)</x:f>
      </x:c>
      <x:c r="G8" s="99" t="str">
        <x:f>IF(F8="","",F8*10%)</x:f>
      </x:c>
      <x:c r="H8" s="1"/>
      <x:c r="I8" s="3" t="str">
        <x:f>C5</x:f>
        <x:v>Footwear</x:v>
      </x:c>
      <x:c r="J8" s="10" t="str">
        <x:f>IF(C39="","",C39)</x:f>
      </x:c>
      <x:c r="K8" s="4" t="str">
        <x:f>IFERROR(C39/B40,"")</x:f>
      </x:c>
      <x:c r="L8" s="1"/>
      <x:c r="M8" s="1"/>
      <x:c r="N8" s="1"/>
      <x:c r="O8" s="1"/>
    </x:row>
    <x:row r="9" ht="16.5">
      <x:c r="A9" s="170" t="n">
        <x:v>46083</x:v>
      </x:c>
      <x:c r="B9" s="98" t="str">
        <x:f t="shared" ref="B9:B38" si="0">IF(SUM(C9:G9)=0,"",SUM(C9:G9))</x:f>
      </x:c>
      <x:c r="C9" s="99"/>
      <x:c r="D9" s="100"/>
      <x:c r="E9" s="100"/>
      <x:c r="F9" s="99" t="str">
        <x:f>IF('RETAIL &amp; PRINT'!C12="","",'RETAIL &amp; PRINT'!C12)</x:f>
      </x:c>
      <x:c r="G9" s="99" t="str">
        <x:f>IF(F9="","",F9*10%)</x:f>
      </x:c>
      <x:c r="H9" s="1"/>
      <x:c r="I9" s="3" t="str">
        <x:f>D5</x:f>
        <x:v>Deep Cleaning</x:v>
      </x:c>
      <x:c r="J9" s="10" t="str">
        <x:f>IF(D40="","",D40)</x:f>
      </x:c>
      <x:c r="K9" s="4" t="str">
        <x:f>IFERROR(D40/$B$40,"")</x:f>
      </x:c>
      <x:c r="L9" s="1"/>
      <x:c r="M9" s="1"/>
      <x:c r="N9" s="1"/>
      <x:c r="O9" s="1"/>
    </x:row>
    <x:row r="10" ht="16.5">
      <x:c r="A10" s="170" t="n">
        <x:v>46084</x:v>
      </x:c>
      <x:c r="B10" s="98" t="str">
        <x:f t="shared" si="0">IF(SUM(C10:G10)=0,"",SUM(C10:G10))</x:f>
      </x:c>
      <x:c r="C10" s="99"/>
      <x:c r="D10" s="100"/>
      <x:c r="E10" s="100"/>
      <x:c r="F10" s="99" t="str">
        <x:f>IF('RETAIL &amp; PRINT'!C13="","",'RETAIL &amp; PRINT'!C13)</x:f>
      </x:c>
      <x:c r="G10" s="99" t="str">
        <x:f>IF(F10="","",F10*10%)</x:f>
      </x:c>
      <x:c r="H10" s="1"/>
      <x:c r="I10" s="3" t="str">
        <x:f>F5</x:f>
        <x:v>Print &amp; Retail</x:v>
      </x:c>
      <x:c r="J10" s="10" t="str">
        <x:f>IF(F40="","",F40)</x:f>
      </x:c>
      <x:c r="K10" s="4" t="str">
        <x:f>IFERROR(SUM(F39:G39)/B40,"")</x:f>
      </x:c>
      <x:c r="L10" s="1"/>
      <x:c r="M10" s="1"/>
      <x:c r="N10" s="1"/>
      <x:c r="O10" s="1"/>
    </x:row>
    <x:row r="11" ht="16.5">
      <x:c r="A11" s="170" t="n">
        <x:v>46085</x:v>
      </x:c>
      <x:c r="B11" s="98" t="str">
        <x:f t="shared" si="0">IF(SUM(C11:G11)=0,"",SUM(C11:G11))</x:f>
      </x:c>
      <x:c r="C11" s="99"/>
      <x:c r="D11" s="100"/>
      <x:c r="E11" s="100"/>
      <x:c r="F11" s="99" t="str">
        <x:f>IF('RETAIL &amp; PRINT'!C14="","",'RETAIL &amp; PRINT'!C14)</x:f>
      </x:c>
      <x:c r="G11" s="99" t="str">
        <x:f>IF(F11="","",F11*10%)</x:f>
      </x:c>
      <x:c r="H11" s="1"/>
      <x:c r="I11" s="3"/>
      <x:c r="J11" s="10"/>
      <x:c r="K11" s="4"/>
      <x:c r="L11" s="1"/>
      <x:c r="M11" s="1"/>
      <x:c r="N11" s="1"/>
      <x:c r="O11" s="1"/>
    </x:row>
    <x:row r="12" ht="16.5">
      <x:c r="A12" s="170" t="n">
        <x:v>46086</x:v>
      </x:c>
      <x:c r="B12" s="98" t="str">
        <x:f t="shared" si="0">IF(SUM(C12:G12)=0,"",SUM(C12:G12))</x:f>
      </x:c>
      <x:c r="C12" s="99"/>
      <x:c r="D12" s="100"/>
      <x:c r="E12" s="100"/>
      <x:c r="F12" s="99" t="str">
        <x:f>IF('RETAIL &amp; PRINT'!C15="","",'RETAIL &amp; PRINT'!C15)</x:f>
      </x:c>
      <x:c r="G12" s="99" t="str">
        <x:f>IF(F12="","",F12*10%)</x:f>
      </x:c>
      <x:c r="H12" s="1"/>
      <x:c r="I12" s="3"/>
      <x:c r="J12" s="10" t="str">
        <x:f>IF(SUM(J8:J11)=0,"",SUM(J8:J11))</x:f>
      </x:c>
      <x:c r="K12" s="4" t="str">
        <x:f>IF(SUM(K8:K11)=0,"",SUM(K8:K11))</x:f>
      </x:c>
      <x:c r="L12" s="1"/>
      <x:c r="M12" s="1"/>
      <x:c r="N12" s="1"/>
      <x:c r="O12" s="1"/>
    </x:row>
    <x:row r="13" ht="16.5">
      <x:c r="A13" s="170" t="n">
        <x:v>46087</x:v>
      </x:c>
      <x:c r="B13" s="98" t="str">
        <x:f t="shared" si="0">IF(SUM(C13:G13)=0,"",SUM(C13:G13))</x:f>
      </x:c>
      <x:c r="C13" s="99"/>
      <x:c r="D13" s="100"/>
      <x:c r="E13" s="100"/>
      <x:c r="F13" s="99" t="str">
        <x:f>IF('RETAIL &amp; PRINT'!C16="","",'RETAIL &amp; PRINT'!C16)</x:f>
      </x:c>
      <x:c r="G13" s="99" t="str">
        <x:f>IF(F13="","",F13*10%)</x:f>
      </x:c>
      <x:c r="H13" s="1"/>
      <x:c r="I13" s="1"/>
      <x:c r="J13" s="1"/>
      <x:c r="K13" s="1"/>
      <x:c r="L13" s="1"/>
      <x:c r="M13" s="1"/>
      <x:c r="N13" s="1"/>
      <x:c r="O13" s="1"/>
    </x:row>
    <x:row r="14" ht="16.5">
      <x:c r="A14" s="170" t="n">
        <x:v>46088</x:v>
      </x:c>
      <x:c r="B14" s="98" t="str">
        <x:f t="shared" si="0">IF(SUM(C14:G14)=0,"",SUM(C14:G14))</x:f>
      </x:c>
      <x:c r="C14" s="99"/>
      <x:c r="D14" s="100"/>
      <x:c r="E14" s="100"/>
      <x:c r="F14" s="99" t="str">
        <x:f>IF('RETAIL &amp; PRINT'!C17="","",'RETAIL &amp; PRINT'!C17)</x:f>
      </x:c>
      <x:c r="G14" s="99" t="str">
        <x:f>IF(F14="","",F14*10%)</x:f>
      </x:c>
      <x:c r="H14" s="1"/>
      <x:c r="I14" s="1"/>
      <x:c r="J14" s="27"/>
      <x:c r="K14" s="28"/>
      <x:c r="L14" s="1"/>
      <x:c r="M14" s="1"/>
      <x:c r="N14" s="1"/>
      <x:c r="O14" s="1"/>
    </x:row>
    <x:row r="15" ht="16.5">
      <x:c r="A15" s="170" t="n">
        <x:v>46089</x:v>
      </x:c>
      <x:c r="B15" s="98" t="str">
        <x:f t="shared" si="0">IF(SUM(C15:G15)=0,"",SUM(C15:G15))</x:f>
      </x:c>
      <x:c r="C15" s="99"/>
      <x:c r="D15" s="100"/>
      <x:c r="E15" s="100"/>
      <x:c r="F15" s="99" t="str">
        <x:f>IF('RETAIL &amp; PRINT'!C18="","",'RETAIL &amp; PRINT'!C18)</x:f>
      </x:c>
      <x:c r="G15" s="99" t="str">
        <x:f>IF(F15="","",F15*10%)</x:f>
      </x:c>
      <x:c r="H15" s="1"/>
      <x:c r="I15" s="1"/>
      <x:c r="J15" s="1"/>
      <x:c r="K15" s="1"/>
      <x:c r="L15" s="1"/>
      <x:c r="M15" s="1"/>
      <x:c r="N15" s="1"/>
      <x:c r="O15" s="1"/>
    </x:row>
    <x:row r="16" ht="16.5">
      <x:c r="A16" s="170" t="n">
        <x:v>46090</x:v>
      </x:c>
      <x:c r="B16" s="98" t="str">
        <x:f t="shared" si="0">IF(SUM(C16:G16)=0,"",SUM(C16:G16))</x:f>
      </x:c>
      <x:c r="C16" s="99"/>
      <x:c r="D16" s="100"/>
      <x:c r="E16" s="100"/>
      <x:c r="F16" s="99" t="str">
        <x:f>IF('RETAIL &amp; PRINT'!C19="","",'RETAIL &amp; PRINT'!C19)</x:f>
      </x:c>
      <x:c r="G16" s="99" t="str">
        <x:f>IF(F16="","",F16*10%)</x:f>
      </x:c>
      <x:c r="H16" s="1"/>
      <x:c r="I16" s="1"/>
      <x:c r="J16" s="1"/>
      <x:c r="K16" s="1"/>
      <x:c r="L16" s="1"/>
      <x:c r="M16" s="1"/>
      <x:c r="N16" s="1"/>
      <x:c r="O16" s="1"/>
    </x:row>
    <x:row r="17" ht="16.5">
      <x:c r="A17" s="170" t="n">
        <x:v>46091</x:v>
      </x:c>
      <x:c r="B17" s="98" t="str">
        <x:f t="shared" si="0">IF(SUM(C17:G17)=0,"",SUM(C17:G17))</x:f>
      </x:c>
      <x:c r="C17" s="99"/>
      <x:c r="D17" s="100"/>
      <x:c r="E17" s="100"/>
      <x:c r="F17" s="99" t="str">
        <x:f>IF('RETAIL &amp; PRINT'!C20="","",'RETAIL &amp; PRINT'!C20)</x:f>
      </x:c>
      <x:c r="G17" s="99" t="str">
        <x:f>IF(F17="","",F17*10%)</x:f>
      </x:c>
      <x:c r="H17" s="1"/>
      <x:c r="I17" s="1"/>
      <x:c r="J17" s="1"/>
      <x:c r="K17" s="1"/>
      <x:c r="L17" s="1"/>
      <x:c r="M17" s="1"/>
      <x:c r="N17" s="1"/>
      <x:c r="O17" s="1"/>
    </x:row>
    <x:row r="18" ht="16.5">
      <x:c r="A18" s="170" t="n">
        <x:v>46092</x:v>
      </x:c>
      <x:c r="B18" s="98" t="str">
        <x:f t="shared" si="0">IF(SUM(C18:G18)=0,"",SUM(C18:G18))</x:f>
      </x:c>
      <x:c r="C18" s="99"/>
      <x:c r="D18" s="100"/>
      <x:c r="E18" s="100"/>
      <x:c r="F18" s="99" t="str">
        <x:f>IF('RETAIL &amp; PRINT'!C21="","",'RETAIL &amp; PRINT'!C21)</x:f>
      </x:c>
      <x:c r="G18" s="99" t="str">
        <x:f>IF(F18="","",F18*10%)</x:f>
      </x:c>
      <x:c r="H18" s="1"/>
      <x:c r="I18" s="1"/>
      <x:c r="J18" s="1"/>
      <x:c r="K18" s="1"/>
      <x:c r="L18" s="1"/>
      <x:c r="M18" s="1"/>
      <x:c r="N18" s="1"/>
      <x:c r="O18" s="1"/>
    </x:row>
    <x:row r="19" ht="16.5">
      <x:c r="A19" s="170" t="n">
        <x:v>46093</x:v>
      </x:c>
      <x:c r="B19" s="98" t="str">
        <x:f t="shared" si="0">IF(SUM(C19:G19)=0,"",SUM(C19:G19))</x:f>
      </x:c>
      <x:c r="C19" s="99"/>
      <x:c r="D19" s="100"/>
      <x:c r="E19" s="100"/>
      <x:c r="F19" s="99" t="str">
        <x:f>IF('RETAIL &amp; PRINT'!C22="","",'RETAIL &amp; PRINT'!C22)</x:f>
      </x:c>
      <x:c r="G19" s="99" t="str">
        <x:f>IF(F19="","",F19*10%)</x:f>
      </x:c>
      <x:c r="H19" s="1"/>
      <x:c r="I19" s="1"/>
      <x:c r="J19" s="1"/>
      <x:c r="K19" s="1"/>
      <x:c r="L19" s="1"/>
      <x:c r="M19" s="1"/>
      <x:c r="N19" s="1"/>
      <x:c r="O19" s="1"/>
    </x:row>
    <x:row r="20" ht="16.5">
      <x:c r="A20" s="170" t="n">
        <x:v>46094</x:v>
      </x:c>
      <x:c r="B20" s="98" t="str">
        <x:f t="shared" si="0">IF(SUM(C20:G20)=0,"",SUM(C20:G20))</x:f>
      </x:c>
      <x:c r="C20" s="99"/>
      <x:c r="D20" s="100"/>
      <x:c r="E20" s="100"/>
      <x:c r="F20" s="99" t="str">
        <x:f>IF('RETAIL &amp; PRINT'!C23="","",'RETAIL &amp; PRINT'!C23)</x:f>
      </x:c>
      <x:c r="G20" s="99" t="str">
        <x:f>IF(F20="","",F20*10%)</x:f>
      </x:c>
      <x:c r="H20" s="1"/>
      <x:c r="I20" s="1"/>
      <x:c r="J20" s="1"/>
      <x:c r="K20" s="1"/>
      <x:c r="L20" s="1"/>
      <x:c r="M20" s="1"/>
      <x:c r="N20" s="1"/>
      <x:c r="O20" s="1"/>
    </x:row>
    <x:row r="21" ht="16.5">
      <x:c r="A21" s="170" t="n">
        <x:v>46095</x:v>
      </x:c>
      <x:c r="B21" s="98" t="str">
        <x:f t="shared" si="0">IF(SUM(C21:G21)=0,"",SUM(C21:G21))</x:f>
      </x:c>
      <x:c r="C21" s="99"/>
      <x:c r="D21" s="100"/>
      <x:c r="E21" s="100"/>
      <x:c r="F21" s="99" t="str">
        <x:f>IF('RETAIL &amp; PRINT'!C24="","",'RETAIL &amp; PRINT'!C24)</x:f>
      </x:c>
      <x:c r="G21" s="99" t="str">
        <x:f>IF(F21="","",F21*10%)</x:f>
      </x:c>
      <x:c r="H21" s="1"/>
      <x:c r="I21" s="1"/>
      <x:c r="J21" s="1"/>
      <x:c r="K21" s="1"/>
      <x:c r="L21" s="1"/>
      <x:c r="M21" s="1"/>
      <x:c r="N21" s="1"/>
      <x:c r="O21" s="1"/>
    </x:row>
    <x:row r="22" ht="16.5">
      <x:c r="A22" s="170" t="n">
        <x:v>46096</x:v>
      </x:c>
      <x:c r="B22" s="98" t="str">
        <x:f t="shared" si="0">IF(SUM(C22:G22)=0,"",SUM(C22:G22))</x:f>
      </x:c>
      <x:c r="C22" s="99"/>
      <x:c r="D22" s="100"/>
      <x:c r="E22" s="100"/>
      <x:c r="F22" s="99" t="str">
        <x:f>IF('RETAIL &amp; PRINT'!C25="","",'RETAIL &amp; PRINT'!C25)</x:f>
      </x:c>
      <x:c r="G22" s="99" t="str">
        <x:f>IF(F22="","",F22*10%)</x:f>
      </x:c>
      <x:c r="H22" s="1"/>
      <x:c r="I22" s="1"/>
      <x:c r="J22" s="1"/>
      <x:c r="K22" s="1"/>
      <x:c r="L22" s="1"/>
      <x:c r="M22" s="1"/>
      <x:c r="N22" s="1"/>
      <x:c r="O22" s="1"/>
    </x:row>
    <x:row r="23" ht="16.5">
      <x:c r="A23" s="170" t="n">
        <x:v>46097</x:v>
      </x:c>
      <x:c r="B23" s="98" t="str">
        <x:f t="shared" si="0">IF(SUM(C23:G23)=0,"",SUM(C23:G23))</x:f>
      </x:c>
      <x:c r="C23" s="99"/>
      <x:c r="D23" s="100"/>
      <x:c r="E23" s="100"/>
      <x:c r="F23" s="99" t="str">
        <x:f>IF('RETAIL &amp; PRINT'!C26="","",'RETAIL &amp; PRINT'!C26)</x:f>
      </x:c>
      <x:c r="G23" s="99" t="str">
        <x:f>IF(F23="","",F23*10%)</x:f>
      </x:c>
      <x:c r="H23" s="1"/>
      <x:c r="I23" s="1"/>
      <x:c r="J23" s="1"/>
      <x:c r="K23" s="1"/>
      <x:c r="L23" s="1"/>
      <x:c r="M23" s="1"/>
      <x:c r="N23" s="1"/>
      <x:c r="O23" s="1"/>
    </x:row>
    <x:row r="24" ht="16.5">
      <x:c r="A24" s="170" t="n">
        <x:v>46098</x:v>
      </x:c>
      <x:c r="B24" s="98" t="str">
        <x:f t="shared" si="0">IF(SUM(C24:G24)=0,"",SUM(C24:G24))</x:f>
      </x:c>
      <x:c r="C24" s="99"/>
      <x:c r="D24" s="100"/>
      <x:c r="E24" s="100"/>
      <x:c r="F24" s="99" t="str">
        <x:f>IF('RETAIL &amp; PRINT'!C27="","",'RETAIL &amp; PRINT'!C27)</x:f>
      </x:c>
      <x:c r="G24" s="99" t="str">
        <x:f>IF(F24="","",F24*10%)</x:f>
      </x:c>
      <x:c r="H24" s="1"/>
      <x:c r="I24" s="1"/>
      <x:c r="J24" s="1"/>
      <x:c r="K24" s="1"/>
      <x:c r="L24" s="1"/>
      <x:c r="M24" s="1"/>
      <x:c r="N24" s="1"/>
      <x:c r="O24" s="1"/>
    </x:row>
    <x:row r="25" ht="16.5">
      <x:c r="A25" s="170" t="n">
        <x:v>46099</x:v>
      </x:c>
      <x:c r="B25" s="98" t="str">
        <x:f t="shared" si="0">IF(SUM(C25:G25)=0,"",SUM(C25:G25))</x:f>
      </x:c>
      <x:c r="C25" s="99"/>
      <x:c r="D25" s="100"/>
      <x:c r="E25" s="100"/>
      <x:c r="F25" s="99" t="str">
        <x:f>IF('RETAIL &amp; PRINT'!C28="","",'RETAIL &amp; PRINT'!C28)</x:f>
      </x:c>
      <x:c r="G25" s="99" t="str">
        <x:f>IF(F25="","",F25*10%)</x:f>
      </x:c>
      <x:c r="H25" s="1"/>
      <x:c r="I25" s="34"/>
      <x:c r="J25" s="34"/>
      <x:c r="K25" s="34"/>
      <x:c r="L25" s="1"/>
      <x:c r="M25" s="1"/>
      <x:c r="N25" s="1"/>
      <x:c r="O25" s="1"/>
    </x:row>
    <x:row r="26" ht="16.5">
      <x:c r="A26" s="170" t="n">
        <x:v>46100</x:v>
      </x:c>
      <x:c r="B26" s="98" t="str">
        <x:f t="shared" si="0">IF(SUM(C26:G26)=0,"",SUM(C26:G26))</x:f>
      </x:c>
      <x:c r="C26" s="99"/>
      <x:c r="D26" s="100"/>
      <x:c r="E26" s="100"/>
      <x:c r="F26" s="99" t="str">
        <x:f>IF('RETAIL &amp; PRINT'!C29="","",'RETAIL &amp; PRINT'!C29)</x:f>
      </x:c>
      <x:c r="G26" s="99" t="str">
        <x:f>IF(F26="","",F26*10%)</x:f>
      </x:c>
      <x:c r="H26" s="1"/>
      <x:c r="I26" s="33"/>
      <x:c r="J26" s="33"/>
      <x:c r="K26" s="33"/>
      <x:c r="L26" s="1"/>
      <x:c r="M26" s="1"/>
      <x:c r="N26" s="1"/>
      <x:c r="O26" s="1"/>
    </x:row>
    <x:row r="27" ht="16.5">
      <x:c r="A27" s="170" t="n">
        <x:v>46101</x:v>
      </x:c>
      <x:c r="B27" s="98" t="str">
        <x:f t="shared" si="0">IF(SUM(C27:G27)=0,"",SUM(C27:G27))</x:f>
      </x:c>
      <x:c r="C27" s="99"/>
      <x:c r="D27" s="100"/>
      <x:c r="E27" s="100"/>
      <x:c r="F27" s="99" t="str">
        <x:f>IF('RETAIL &amp; PRINT'!C30="","",'RETAIL &amp; PRINT'!C30)</x:f>
      </x:c>
      <x:c r="G27" s="99" t="str">
        <x:f>IF(F27="","",F27*10%)</x:f>
      </x:c>
      <x:c r="H27" s="1"/>
      <x:c r="I27" s="34"/>
      <x:c r="J27" s="35"/>
      <x:c r="K27" s="36"/>
      <x:c r="L27" s="1"/>
      <x:c r="M27" s="1"/>
      <x:c r="N27" s="1"/>
      <x:c r="O27" s="1"/>
    </x:row>
    <x:row r="28" ht="16.5">
      <x:c r="A28" s="170" t="n">
        <x:v>46102</x:v>
      </x:c>
      <x:c r="B28" s="98" t="str">
        <x:f t="shared" si="0">IF(SUM(C28:G28)=0,"",SUM(C28:G28))</x:f>
      </x:c>
      <x:c r="C28" s="99"/>
      <x:c r="D28" s="100"/>
      <x:c r="E28" s="100"/>
      <x:c r="F28" s="99" t="str">
        <x:f>IF('RETAIL &amp; PRINT'!C31="","",'RETAIL &amp; PRINT'!C31)</x:f>
      </x:c>
      <x:c r="G28" s="99" t="str">
        <x:f>IF(F28="","",F28*10%)</x:f>
      </x:c>
      <x:c r="H28" s="1"/>
      <x:c r="I28" s="34"/>
      <x:c r="J28" s="37"/>
      <x:c r="K28" s="36"/>
      <x:c r="L28" s="1"/>
      <x:c r="M28" s="1"/>
      <x:c r="N28" s="1"/>
      <x:c r="O28" s="1"/>
    </x:row>
    <x:row r="29" ht="16.5">
      <x:c r="A29" s="170" t="n">
        <x:v>46103</x:v>
      </x:c>
      <x:c r="B29" s="98" t="str">
        <x:f t="shared" si="0">IF(SUM(C29:G29)=0,"",SUM(C29:G29))</x:f>
      </x:c>
      <x:c r="C29" s="99"/>
      <x:c r="D29" s="103"/>
      <x:c r="E29" s="103"/>
      <x:c r="F29" s="99" t="str">
        <x:f>IF('RETAIL &amp; PRINT'!C32="","",'RETAIL &amp; PRINT'!C32)</x:f>
      </x:c>
      <x:c r="G29" s="99" t="str">
        <x:f>IF(F29="","",F29*10%)</x:f>
      </x:c>
      <x:c r="H29" s="1"/>
      <x:c r="I29" s="1"/>
      <x:c r="J29" s="29"/>
      <x:c r="K29" s="30"/>
      <x:c r="L29" s="1"/>
      <x:c r="M29" s="1"/>
      <x:c r="N29" s="1"/>
      <x:c r="O29" s="1"/>
    </x:row>
    <x:row r="30" ht="16.5">
      <x:c r="A30" s="170" t="n">
        <x:v>46104</x:v>
      </x:c>
      <x:c r="B30" s="98" t="str">
        <x:f t="shared" si="0">IF(SUM(C30:G30)=0,"",SUM(C30:G30))</x:f>
      </x:c>
      <x:c r="C30" s="99"/>
      <x:c r="D30" s="100"/>
      <x:c r="E30" s="100"/>
      <x:c r="F30" s="99" t="str">
        <x:f>IF('RETAIL &amp; PRINT'!C33="","",'RETAIL &amp; PRINT'!C33)</x:f>
      </x:c>
      <x:c r="G30" s="99" t="str">
        <x:f>IF(F30="","",F30*10%)</x:f>
      </x:c>
      <x:c r="H30" s="1"/>
      <x:c r="I30" s="1"/>
      <x:c r="J30" s="31"/>
      <x:c r="K30" s="30"/>
      <x:c r="L30" s="1"/>
      <x:c r="M30" s="1"/>
      <x:c r="N30" s="1"/>
      <x:c r="O30" s="1"/>
    </x:row>
    <x:row r="31" ht="16.5">
      <x:c r="A31" s="170" t="n">
        <x:v>46105</x:v>
      </x:c>
      <x:c r="B31" s="98" t="str">
        <x:f t="shared" si="0">IF(SUM(C31:G31)=0,"",SUM(C31:G31))</x:f>
      </x:c>
      <x:c r="C31" s="99"/>
      <x:c r="D31" s="100"/>
      <x:c r="E31" s="100"/>
      <x:c r="F31" s="99" t="str">
        <x:f>IF('RETAIL &amp; PRINT'!C34="","",'RETAIL &amp; PRINT'!C34)</x:f>
      </x:c>
      <x:c r="G31" s="99" t="str">
        <x:f>IF(F31="","",F31*10%)</x:f>
      </x:c>
      <x:c r="I31" s="1"/>
      <x:c r="J31" s="29"/>
      <x:c r="K31" s="30"/>
      <x:c r="L31" s="1"/>
      <x:c r="M31" s="1"/>
      <x:c r="N31" s="1"/>
      <x:c r="O31" s="1"/>
    </x:row>
    <x:row r="32" ht="16.5">
      <x:c r="A32" s="170" t="n">
        <x:v>46106</x:v>
      </x:c>
      <x:c r="B32" s="98" t="str">
        <x:f t="shared" si="0">IF(SUM(C32:G32)=0,"",SUM(C32:G32))</x:f>
      </x:c>
      <x:c r="C32" s="99"/>
      <x:c r="D32" s="100"/>
      <x:c r="E32" s="100"/>
      <x:c r="F32" s="99" t="str">
        <x:f>IF('RETAIL &amp; PRINT'!C35="","",'RETAIL &amp; PRINT'!C35)</x:f>
      </x:c>
      <x:c r="G32" s="99" t="str">
        <x:f>IF(F32="","",F32*10%)</x:f>
      </x:c>
      <x:c r="H32" s="1"/>
      <x:c r="I32" s="1"/>
      <x:c r="J32" s="31"/>
      <x:c r="K32" s="30"/>
      <x:c r="L32" s="1"/>
      <x:c r="M32" s="1"/>
      <x:c r="N32" s="1"/>
      <x:c r="O32" s="1"/>
    </x:row>
    <x:row r="33" ht="16.5">
      <x:c r="A33" s="170" t="n">
        <x:v>46107</x:v>
      </x:c>
      <x:c r="B33" s="98" t="str">
        <x:f t="shared" si="0">IF(SUM(C33:G33)=0,"",SUM(C33:G33))</x:f>
      </x:c>
      <x:c r="C33" s="99"/>
      <x:c r="D33" s="100"/>
      <x:c r="E33" s="100"/>
      <x:c r="F33" s="99" t="str">
        <x:f>IF('RETAIL &amp; PRINT'!C36="","",'RETAIL &amp; PRINT'!C36)</x:f>
      </x:c>
      <x:c r="G33" s="99" t="str">
        <x:f>IF(F33="","",F33*10%)</x:f>
      </x:c>
      <x:c r="H33" s="1"/>
      <x:c r="I33" s="1"/>
      <x:c r="J33" s="32"/>
      <x:c r="K33" s="30"/>
      <x:c r="L33" s="1"/>
      <x:c r="M33" s="1"/>
      <x:c r="N33" s="1"/>
      <x:c r="O33" s="1"/>
    </x:row>
    <x:row r="34" ht="16.5">
      <x:c r="A34" s="170" t="n">
        <x:v>46108</x:v>
      </x:c>
      <x:c r="B34" s="98" t="str">
        <x:f t="shared" si="0">IF(SUM(C34:G34)=0,"",SUM(C34:G34))</x:f>
      </x:c>
      <x:c r="C34" s="99"/>
      <x:c r="D34" s="100"/>
      <x:c r="E34" s="100"/>
      <x:c r="F34" s="99" t="str">
        <x:f>IF('RETAIL &amp; PRINT'!C37="","",'RETAIL &amp; PRINT'!C37)</x:f>
      </x:c>
      <x:c r="G34" s="99" t="str">
        <x:f>IF(F34="","",F34*10%)</x:f>
      </x:c>
      <x:c r="H34" s="1"/>
      <x:c r="I34" s="1"/>
      <x:c r="J34" s="1"/>
      <x:c r="K34" s="1"/>
      <x:c r="L34" s="1"/>
      <x:c r="M34" s="1"/>
      <x:c r="N34" s="1"/>
      <x:c r="O34" s="1"/>
    </x:row>
    <x:row r="35" ht="16.5">
      <x:c r="A35" s="170" t="n">
        <x:v>46109</x:v>
      </x:c>
      <x:c r="B35" s="98" t="str">
        <x:f t="shared" si="0">IF(SUM(C35:G35)=0,"",SUM(C35:G35))</x:f>
      </x:c>
      <x:c r="C35" s="99"/>
      <x:c r="D35" s="100"/>
      <x:c r="E35" s="100"/>
      <x:c r="F35" s="99" t="str">
        <x:f>IF('RETAIL &amp; PRINT'!C38="","",'RETAIL &amp; PRINT'!C38)</x:f>
      </x:c>
      <x:c r="G35" s="99" t="str">
        <x:f>IF(F35="","",F35*10%)</x:f>
      </x:c>
      <x:c r="H35" s="1"/>
      <x:c r="I35" s="1"/>
      <x:c r="J35" s="1"/>
      <x:c r="K35" s="1"/>
      <x:c r="L35" s="1"/>
      <x:c r="M35" s="1"/>
      <x:c r="N35" s="1"/>
      <x:c r="O35" s="1"/>
    </x:row>
    <x:row r="36" ht="16.5">
      <x:c r="A36" s="170" t="n">
        <x:v>46110</x:v>
      </x:c>
      <x:c r="B36" s="98" t="str">
        <x:f t="shared" si="0">IF(SUM(C36:G36)=0,"",SUM(C36:G36))</x:f>
      </x:c>
      <x:c r="C36" s="99"/>
      <x:c r="D36" s="100"/>
      <x:c r="E36" s="100"/>
      <x:c r="F36" s="99" t="str">
        <x:f>IF('RETAIL &amp; PRINT'!C39="","",'RETAIL &amp; PRINT'!C39)</x:f>
      </x:c>
      <x:c r="G36" s="99" t="str">
        <x:f>IF(F36="","",F36*10%)</x:f>
      </x:c>
      <x:c r="H36" s="1"/>
      <x:c r="I36" s="1"/>
      <x:c r="J36" s="1"/>
      <x:c r="K36" s="1"/>
      <x:c r="L36" s="1"/>
      <x:c r="M36" s="1"/>
      <x:c r="N36" s="1"/>
      <x:c r="O36" s="1"/>
    </x:row>
    <x:row r="37" ht="16.5">
      <x:c r="A37" s="170" t="n">
        <x:v>46111</x:v>
      </x:c>
      <x:c r="B37" s="98" t="str">
        <x:f t="shared" si="0">IF(SUM(C37:G37)=0,"",SUM(C37:G37))</x:f>
      </x:c>
      <x:c r="C37" s="99"/>
      <x:c r="D37" s="100"/>
      <x:c r="E37" s="100"/>
      <x:c r="F37" s="99" t="str">
        <x:f>IF('RETAIL &amp; PRINT'!C40="","",'RETAIL &amp; PRINT'!C40)</x:f>
      </x:c>
      <x:c r="G37" s="99" t="str">
        <x:f>IF(F37="","",F37*10%)</x:f>
      </x:c>
      <x:c r="H37" s="1"/>
      <x:c r="I37" s="1"/>
      <x:c r="J37" s="1"/>
      <x:c r="K37" s="1"/>
      <x:c r="L37" s="1"/>
      <x:c r="M37" s="1"/>
      <x:c r="N37" s="1"/>
      <x:c r="O37" s="1"/>
    </x:row>
    <x:row r="38" ht="16.5">
      <x:c r="A38" s="170" t="n">
        <x:v>46112</x:v>
      </x:c>
      <x:c r="B38" s="98" t="str">
        <x:f t="shared" si="0">IF(SUM(C38:G38)=0,"",SUM(C38:G38))</x:f>
      </x:c>
      <x:c r="C38" s="99"/>
      <x:c r="D38" s="100"/>
      <x:c r="E38" s="100"/>
      <x:c r="F38" s="99" t="str">
        <x:f>IF('RETAIL &amp; PRINT'!C41="","",'RETAIL &amp; PRINT'!C41)</x:f>
      </x:c>
      <x:c r="G38" s="99" t="str">
        <x:f>IF(F38="","",F38*10%)</x:f>
      </x:c>
      <x:c r="H38" s="1"/>
      <x:c r="I38" s="1"/>
      <x:c r="J38" s="1"/>
      <x:c r="K38" s="1"/>
      <x:c r="L38" s="1"/>
      <x:c r="M38" s="1"/>
      <x:c r="N38" s="1"/>
      <x:c r="O38" s="1"/>
    </x:row>
    <x:row r="39" ht="16.5">
      <x:c r="A39" s="51"/>
      <x:c r="B39" s="52" t="str">
        <x:f>IF(SUM(B8:B38)=0,"",SUM(B8:B38))</x:f>
      </x:c>
      <x:c r="C39" s="75" t="str">
        <x:f>IF(SUM(C8:C38)=0,"",SUM(C8:C38))</x:f>
      </x:c>
      <x:c r="D39" s="75" t="str">
        <x:f>IF(SUM(D8:D38)=0,"",SUM(D8:D38))</x:f>
      </x:c>
      <x:c r="E39" s="75" t="str">
        <x:f>IF(SUM(E8:E38)=0,"",SUM(E8:E38))</x:f>
      </x:c>
      <x:c r="F39" s="75" t="str">
        <x:f>IF(SUM(F8:F38)=0,"",SUM(F8:F38))</x:f>
      </x:c>
      <x:c r="G39" s="75" t="str">
        <x:f>IF(SUM(G8:G38)=0,"",SUM(G8:G38))</x:f>
      </x:c>
      <x:c r="H39" s="1"/>
      <x:c r="I39" s="1"/>
      <x:c r="J39" s="1"/>
      <x:c r="K39" s="1"/>
      <x:c r="L39" s="1"/>
      <x:c r="M39" s="1"/>
      <x:c r="N39" s="1"/>
      <x:c r="O39" s="1"/>
    </x:row>
    <x:row r="40" ht="16.5">
      <x:c r="A40" s="51"/>
      <x:c r="B40" s="66" t="str">
        <x:f>IF(B39="","",B39)</x:f>
      </x:c>
      <x:c r="C40" s="67" t="str">
        <x:f>IF(C39="","",C39)</x:f>
      </x:c>
      <x:c r="D40" s="107" t="str">
        <x:f>IF(SUM(D39:E39)=0,"",SUM(D39:E39))</x:f>
      </x:c>
      <x:c r="E40" s="108"/>
      <x:c r="F40" s="142" t="str">
        <x:f>IF(SUM(F39:G39)=0,"",SUM(F39:G39))</x:f>
      </x:c>
      <x:c r="G40" s="143"/>
      <x:c r="H40" s="1"/>
      <x:c r="I40" s="1"/>
      <x:c r="J40" s="1"/>
      <x:c r="K40" s="1"/>
      <x:c r="L40" s="1"/>
      <x:c r="M40" s="1"/>
      <x:c r="N40" s="1"/>
      <x:c r="O40" s="1"/>
    </x:row>
    <x:row r="41" ht="16.5">
      <x:c r="B41" s="11"/>
      <x:c r="C41" s="1"/>
      <x:c r="D41" s="19"/>
      <x:c r="E41" s="19"/>
      <x:c r="F41" s="12"/>
      <x:c r="G41" s="13"/>
      <x:c r="H41" s="1"/>
      <x:c r="I41" s="1"/>
      <x:c r="J41" s="1"/>
      <x:c r="K41" s="1"/>
      <x:c r="L41" s="1"/>
      <x:c r="M41" s="1"/>
      <x:c r="N41" s="1"/>
      <x:c r="O41" s="1"/>
    </x:row>
    <x:row r="42" ht="16.5">
      <x:c r="B42" s="11"/>
      <x:c r="C42" s="1"/>
      <x:c r="D42" s="19"/>
      <x:c r="E42" s="19"/>
      <x:c r="F42" s="12"/>
      <x:c r="G42" s="25"/>
      <x:c r="H42" s="1"/>
      <x:c r="I42" s="1"/>
      <x:c r="J42" s="1"/>
      <x:c r="K42" s="1"/>
      <x:c r="L42" s="1"/>
      <x:c r="M42" s="1"/>
      <x:c r="N42" s="1"/>
      <x:c r="O42" s="1"/>
    </x:row>
    <x:row r="43" ht="16.5">
      <x:c r="B43" s="11"/>
      <x:c r="C43" s="27"/>
      <x:c r="D43" s="19"/>
      <x:c r="E43" s="19"/>
      <x:c r="F43" s="12"/>
      <x:c r="G43" s="13"/>
      <x:c r="H43" s="1"/>
      <x:c r="I43" s="1"/>
      <x:c r="J43" s="1"/>
      <x:c r="K43" s="1"/>
      <x:c r="L43" s="1"/>
      <x:c r="M43" s="1"/>
      <x:c r="N43" s="1"/>
      <x:c r="O43" s="1"/>
    </x:row>
    <x:row r="44" ht="16.5">
      <x:c r="B44" s="11"/>
      <x:c r="C44" s="27"/>
      <x:c r="D44" s="19"/>
      <x:c r="E44" s="19"/>
      <x:c r="F44" s="12"/>
      <x:c r="G44" s="13"/>
      <x:c r="H44" s="1"/>
      <x:c r="I44" s="1"/>
      <x:c r="J44" s="1"/>
      <x:c r="K44" s="1"/>
      <x:c r="L44" s="1"/>
      <x:c r="M44" s="1"/>
      <x:c r="N44" s="1"/>
      <x:c r="O44" s="1"/>
    </x:row>
    <x:row r="45" ht="16.5">
      <x:c r="B45" s="11"/>
      <x:c r="C45" s="27"/>
      <x:c r="D45" s="19"/>
      <x:c r="E45" s="19"/>
      <x:c r="F45" s="12"/>
      <x:c r="G45" s="13"/>
      <x:c r="H45" s="1"/>
      <x:c r="I45" s="1"/>
      <x:c r="J45" s="1"/>
      <x:c r="K45" s="1"/>
      <x:c r="L45" s="1"/>
      <x:c r="M45" s="1"/>
      <x:c r="N45" s="1"/>
      <x:c r="O45" s="1"/>
    </x:row>
    <x:row r="46" ht="16.5">
      <x:c r="B46" s="11"/>
      <x:c r="C46" s="1"/>
      <x:c r="D46" s="19"/>
      <x:c r="E46" s="19"/>
      <x:c r="F46" s="12"/>
      <x:c r="G46" s="13"/>
      <x:c r="H46" s="1"/>
      <x:c r="I46" s="1"/>
      <x:c r="J46" s="1"/>
      <x:c r="K46" s="1"/>
      <x:c r="L46" s="1"/>
      <x:c r="M46" s="1"/>
      <x:c r="N46" s="1"/>
      <x:c r="O46" s="1"/>
    </x:row>
    <x:row r="47" ht="16.5">
      <x:c r="B47" s="11"/>
      <x:c r="C47" s="1"/>
      <x:c r="D47" s="19"/>
      <x:c r="E47" s="19"/>
      <x:c r="F47" s="12"/>
      <x:c r="G47" s="13"/>
      <x:c r="H47" s="1"/>
      <x:c r="I47" s="1"/>
      <x:c r="J47" s="1"/>
      <x:c r="K47" s="1"/>
      <x:c r="L47" s="1"/>
      <x:c r="M47" s="1"/>
      <x:c r="N47" s="1"/>
      <x:c r="O47" s="1"/>
    </x:row>
    <x:row r="48" ht="16.5">
      <x:c r="B48" s="11"/>
      <x:c r="C48" s="1"/>
      <x:c r="D48" s="19"/>
      <x:c r="E48" s="19"/>
      <x:c r="F48" s="12"/>
      <x:c r="G48" s="13"/>
      <x:c r="H48" s="1"/>
      <x:c r="I48" s="1"/>
      <x:c r="J48" s="1"/>
      <x:c r="K48" s="1"/>
      <x:c r="L48" s="1"/>
      <x:c r="M48" s="1"/>
      <x:c r="N48" s="1"/>
      <x:c r="O48" s="1"/>
    </x:row>
    <x:row r="49" ht="16.5">
      <x:c r="B49" s="11"/>
      <x:c r="C49" s="1"/>
      <x:c r="D49" s="19"/>
      <x:c r="E49" s="19"/>
      <x:c r="F49" s="12"/>
      <x:c r="G49" s="13"/>
      <x:c r="H49" s="1"/>
      <x:c r="I49" s="1"/>
      <x:c r="J49" s="1"/>
      <x:c r="K49" s="1"/>
      <x:c r="L49" s="1"/>
      <x:c r="M49" s="1"/>
      <x:c r="N49" s="1"/>
      <x:c r="O49" s="1"/>
    </x:row>
    <x:row r="50" ht="16.5">
      <x:c r="A50"/>
      <x:c r="B50" s="11"/>
      <x:c r="C50" s="1"/>
      <x:c r="D50" s="19"/>
      <x:c r="E50" s="19"/>
      <x:c r="F50" s="12"/>
      <x:c r="G50" s="13"/>
      <x:c r="H50" s="1"/>
      <x:c r="I50" s="1"/>
      <x:c r="J50" s="1"/>
      <x:c r="K50" s="1"/>
      <x:c r="L50" s="1"/>
      <x:c r="M50" s="1"/>
      <x:c r="N50" s="1"/>
      <x:c r="O50" s="1"/>
    </x:row>
    <x:row r="51" ht="16.5">
      <x:c r="A51"/>
      <x:c r="B51" s="11"/>
      <x:c r="C51" s="1"/>
      <x:c r="D51" s="19"/>
      <x:c r="E51" s="19"/>
      <x:c r="F51" s="12"/>
      <x:c r="G51" s="13"/>
      <x:c r="H51" s="1"/>
      <x:c r="I51" s="1"/>
      <x:c r="J51" s="1"/>
      <x:c r="K51" s="1"/>
      <x:c r="L51" s="1"/>
      <x:c r="M51" s="1"/>
      <x:c r="N51" s="1"/>
      <x:c r="O51" s="1"/>
    </x:row>
    <x:row r="52" ht="16.5">
      <x:c r="A52"/>
      <x:c r="B52" s="11"/>
      <x:c r="C52" s="1"/>
      <x:c r="D52" s="19"/>
      <x:c r="E52" s="19"/>
      <x:c r="F52" s="12"/>
      <x:c r="G52" s="13"/>
      <x:c r="H52" s="1"/>
      <x:c r="I52" s="1"/>
      <x:c r="J52" s="1"/>
      <x:c r="K52" s="1"/>
      <x:c r="L52" s="1"/>
      <x:c r="M52" s="1"/>
      <x:c r="N52" s="1"/>
      <x:c r="O52" s="1"/>
    </x:row>
    <x:row r="53" ht="16.5">
      <x:c r="A53"/>
      <x:c r="B53" s="11"/>
      <x:c r="C53" s="1"/>
      <x:c r="D53" s="19"/>
      <x:c r="E53" s="19"/>
      <x:c r="F53" s="12"/>
      <x:c r="G53" s="13"/>
      <x:c r="H53" s="1"/>
      <x:c r="I53" s="1"/>
      <x:c r="J53" s="1"/>
      <x:c r="K53" s="1"/>
      <x:c r="L53" s="1"/>
      <x:c r="M53" s="1"/>
      <x:c r="N53" s="1"/>
      <x:c r="O53" s="1"/>
    </x:row>
    <x:row r="54" ht="16.5">
      <x:c r="A54"/>
      <x:c r="B54" s="11"/>
      <x:c r="C54" s="1"/>
      <x:c r="D54" s="19"/>
      <x:c r="E54" s="19"/>
      <x:c r="F54" s="12"/>
      <x:c r="G54" s="13"/>
      <x:c r="H54" s="1"/>
      <x:c r="I54" s="1"/>
      <x:c r="J54" s="1"/>
      <x:c r="K54" s="1"/>
      <x:c r="L54" s="1"/>
      <x:c r="M54" s="1"/>
      <x:c r="N54" s="1"/>
      <x:c r="O54" s="1"/>
    </x:row>
    <x:row r="55" ht="16.5">
      <x:c r="A55"/>
      <x:c r="B55" s="11"/>
      <x:c r="C55" s="1"/>
      <x:c r="D55" s="19"/>
      <x:c r="E55" s="19"/>
      <x:c r="F55" s="12"/>
      <x:c r="G55" s="13"/>
      <x:c r="H55" s="1"/>
      <x:c r="I55" s="1"/>
      <x:c r="J55" s="1"/>
      <x:c r="K55" s="1"/>
      <x:c r="L55" s="1"/>
      <x:c r="M55" s="1"/>
      <x:c r="N55" s="1"/>
      <x:c r="O55" s="1"/>
    </x:row>
    <x:row r="56" ht="16.5">
      <x:c r="A56"/>
      <x:c r="B56" s="11"/>
      <x:c r="C56" s="1"/>
      <x:c r="D56" s="19"/>
      <x:c r="E56" s="19"/>
      <x:c r="F56" s="12"/>
      <x:c r="G56" s="13"/>
      <x:c r="H56" s="1"/>
      <x:c r="I56" s="1"/>
      <x:c r="J56" s="1"/>
      <x:c r="K56" s="1"/>
      <x:c r="L56" s="1"/>
      <x:c r="M56" s="1"/>
      <x:c r="N56" s="1"/>
      <x:c r="O56" s="1"/>
    </x:row>
    <x:row r="57" ht="16.5">
      <x:c r="A57"/>
      <x:c r="B57" s="11"/>
      <x:c r="C57" s="1"/>
      <x:c r="D57" s="19"/>
      <x:c r="E57" s="19"/>
      <x:c r="F57" s="12"/>
      <x:c r="G57" s="13"/>
      <x:c r="H57" s="1"/>
      <x:c r="I57" s="1"/>
      <x:c r="J57" s="1"/>
      <x:c r="K57" s="1"/>
      <x:c r="L57" s="1"/>
      <x:c r="M57" s="1"/>
      <x:c r="N57" s="1"/>
      <x:c r="O57" s="1"/>
    </x:row>
    <x:row r="58" ht="16.5">
      <x:c r="A58"/>
      <x:c r="B58" s="11"/>
      <x:c r="C58" s="1"/>
      <x:c r="D58" s="19"/>
      <x:c r="E58" s="19"/>
      <x:c r="F58" s="12"/>
      <x:c r="G58" s="13"/>
      <x:c r="H58" s="1"/>
      <x:c r="I58" s="1"/>
      <x:c r="J58" s="1"/>
      <x:c r="K58" s="1"/>
      <x:c r="L58" s="1"/>
      <x:c r="M58" s="1"/>
      <x:c r="N58" s="1"/>
      <x:c r="O58" s="1"/>
    </x:row>
    <x:row r="59" ht="16.5">
      <x:c r="A59"/>
      <x:c r="B59" s="11"/>
      <x:c r="C59" s="1"/>
      <x:c r="D59" s="19"/>
      <x:c r="E59" s="19"/>
      <x:c r="F59" s="12"/>
      <x:c r="G59" s="13"/>
      <x:c r="H59" s="1"/>
      <x:c r="I59" s="1"/>
      <x:c r="J59" s="1"/>
      <x:c r="K59" s="1"/>
      <x:c r="L59" s="1"/>
      <x:c r="M59" s="1"/>
      <x:c r="N59" s="1"/>
      <x:c r="O59" s="1"/>
    </x:row>
    <x:row r="60" ht="16.5">
      <x:c r="A60"/>
      <x:c r="B60" s="11"/>
      <x:c r="C60" s="1"/>
      <x:c r="D60" s="19"/>
      <x:c r="E60" s="19"/>
      <x:c r="F60" s="12"/>
      <x:c r="G60" s="13"/>
      <x:c r="H60" s="1"/>
      <x:c r="I60" s="1"/>
      <x:c r="J60" s="1"/>
      <x:c r="K60" s="1"/>
      <x:c r="L60" s="1"/>
      <x:c r="M60" s="1"/>
      <x:c r="N60" s="1"/>
      <x:c r="O60" s="1"/>
    </x:row>
    <x:row r="61" ht="16.5">
      <x:c r="A61"/>
      <x:c r="B61" s="11"/>
      <x:c r="C61" s="1"/>
      <x:c r="D61" s="19"/>
      <x:c r="E61" s="19"/>
      <x:c r="F61" s="12"/>
      <x:c r="G61" s="13"/>
      <x:c r="H61" s="1"/>
      <x:c r="I61" s="1"/>
      <x:c r="J61" s="1"/>
      <x:c r="K61" s="1"/>
      <x:c r="L61" s="1"/>
      <x:c r="M61" s="1"/>
      <x:c r="N61" s="1"/>
      <x:c r="O61" s="1"/>
    </x:row>
    <x:row r="62" ht="16.5">
      <x:c r="A62"/>
      <x:c r="B62" s="11"/>
      <x:c r="C62" s="1"/>
      <x:c r="D62" s="19"/>
      <x:c r="E62" s="19"/>
      <x:c r="F62" s="12"/>
      <x:c r="G62" s="13"/>
      <x:c r="H62" s="1"/>
      <x:c r="I62" s="1"/>
      <x:c r="J62" s="1"/>
      <x:c r="K62" s="1"/>
      <x:c r="L62" s="1"/>
      <x:c r="M62" s="1"/>
      <x:c r="N62" s="1"/>
      <x:c r="O62" s="1"/>
    </x:row>
    <x:row r="63" ht="16.5">
      <x:c r="A63"/>
      <x:c r="B63" s="11"/>
      <x:c r="C63" s="1"/>
      <x:c r="D63" s="19"/>
      <x:c r="E63" s="19"/>
      <x:c r="F63" s="12"/>
      <x:c r="G63" s="13"/>
      <x:c r="H63" s="1"/>
      <x:c r="I63" s="1"/>
      <x:c r="J63" s="1"/>
      <x:c r="K63" s="1"/>
      <x:c r="L63" s="1"/>
      <x:c r="M63" s="1"/>
      <x:c r="N63" s="1"/>
      <x:c r="O63" s="1"/>
    </x:row>
    <x:row r="64" ht="16.5">
      <x:c r="A64"/>
      <x:c r="B64" s="11"/>
      <x:c r="C64" s="1"/>
      <x:c r="D64" s="19"/>
      <x:c r="E64" s="19"/>
      <x:c r="F64" s="12"/>
      <x:c r="G64" s="13"/>
      <x:c r="H64" s="1"/>
      <x:c r="I64" s="1"/>
      <x:c r="J64" s="1"/>
      <x:c r="K64" s="1"/>
      <x:c r="L64" s="1"/>
      <x:c r="M64" s="1"/>
      <x:c r="N64" s="1"/>
      <x:c r="O64" s="1"/>
    </x:row>
    <x:row r="65" ht="16.5">
      <x:c r="A65"/>
      <x:c r="B65" s="11"/>
      <x:c r="C65" s="1"/>
      <x:c r="D65" s="19"/>
      <x:c r="E65" s="19"/>
      <x:c r="F65" s="12"/>
      <x:c r="G65" s="13"/>
      <x:c r="H65" s="1"/>
      <x:c r="I65" s="1"/>
      <x:c r="J65" s="1"/>
      <x:c r="K65" s="1"/>
      <x:c r="L65" s="1"/>
      <x:c r="M65" s="1"/>
      <x:c r="N65" s="1"/>
      <x:c r="O65" s="1"/>
    </x:row>
    <x:row r="66" ht="16.5">
      <x:c r="A66"/>
      <x:c r="B66" s="11"/>
      <x:c r="C66" s="1"/>
      <x:c r="D66" s="19"/>
      <x:c r="E66" s="19"/>
      <x:c r="F66" s="12"/>
      <x:c r="G66" s="13"/>
      <x:c r="H66" s="1"/>
      <x:c r="I66" s="1"/>
      <x:c r="J66" s="1"/>
      <x:c r="K66" s="1"/>
      <x:c r="L66" s="1"/>
      <x:c r="M66" s="1"/>
      <x:c r="N66" s="1"/>
      <x:c r="O66" s="1"/>
    </x:row>
    <x:row r="67" ht="16.5">
      <x:c r="A67"/>
      <x:c r="B67" s="11"/>
      <x:c r="C67" s="1"/>
      <x:c r="D67" s="19"/>
      <x:c r="E67" s="19"/>
      <x:c r="F67" s="12"/>
      <x:c r="G67" s="13"/>
      <x:c r="H67" s="1"/>
      <x:c r="I67" s="1"/>
      <x:c r="J67" s="1"/>
      <x:c r="K67" s="1"/>
      <x:c r="L67" s="1"/>
      <x:c r="M67" s="1"/>
      <x:c r="N67" s="1"/>
      <x:c r="O67" s="1"/>
    </x:row>
    <x:row r="68" ht="16.5">
      <x:c r="A68"/>
      <x:c r="B68" s="11"/>
      <x:c r="C68" s="1"/>
      <x:c r="D68" s="19"/>
      <x:c r="E68" s="19"/>
      <x:c r="F68" s="12"/>
      <x:c r="G68" s="13"/>
      <x:c r="H68" s="1"/>
      <x:c r="I68" s="1"/>
      <x:c r="J68" s="1"/>
      <x:c r="K68" s="1"/>
      <x:c r="L68" s="1"/>
      <x:c r="M68" s="1"/>
      <x:c r="N68" s="1"/>
      <x:c r="O68" s="1"/>
    </x:row>
    <x:row r="69" ht="16.5">
      <x:c r="A69"/>
      <x:c r="B69" s="11"/>
      <x:c r="C69" s="1"/>
      <x:c r="D69" s="19"/>
      <x:c r="E69" s="19"/>
      <x:c r="F69" s="12"/>
      <x:c r="G69" s="13"/>
      <x:c r="H69" s="1"/>
      <x:c r="I69" s="1"/>
      <x:c r="J69" s="1"/>
      <x:c r="K69" s="1"/>
      <x:c r="L69" s="1"/>
      <x:c r="M69" s="1"/>
      <x:c r="N69" s="1"/>
      <x:c r="O69" s="1"/>
    </x:row>
    <x:row r="70" ht="16.5">
      <x:c r="A70"/>
      <x:c r="B70" s="11"/>
      <x:c r="C70" s="1"/>
      <x:c r="D70" s="19"/>
      <x:c r="E70" s="19"/>
      <x:c r="F70" s="12"/>
      <x:c r="G70" s="13"/>
      <x:c r="H70" s="1"/>
      <x:c r="I70" s="1"/>
      <x:c r="J70" s="1"/>
      <x:c r="K70" s="1"/>
      <x:c r="L70" s="1"/>
      <x:c r="M70" s="1"/>
      <x:c r="N70" s="1"/>
      <x:c r="O70" s="1"/>
    </x:row>
    <x:row r="71" ht="16.5">
      <x:c r="A71"/>
      <x:c r="B71" s="11"/>
      <x:c r="C71" s="1"/>
      <x:c r="D71" s="19"/>
      <x:c r="E71" s="19"/>
      <x:c r="F71" s="12"/>
      <x:c r="G71" s="13"/>
      <x:c r="H71" s="1"/>
      <x:c r="I71" s="1"/>
      <x:c r="J71" s="1"/>
      <x:c r="K71" s="1"/>
      <x:c r="L71" s="1"/>
      <x:c r="M71" s="1"/>
      <x:c r="N71" s="1"/>
      <x:c r="O71" s="1"/>
    </x:row>
    <x:row r="72" ht="16.5">
      <x:c r="A72"/>
      <x:c r="B72" s="11"/>
      <x:c r="C72" s="1"/>
      <x:c r="D72" s="19"/>
      <x:c r="E72" s="19"/>
      <x:c r="F72" s="12"/>
      <x:c r="G72" s="13"/>
      <x:c r="H72" s="1"/>
      <x:c r="I72" s="1"/>
      <x:c r="J72" s="1"/>
      <x:c r="K72" s="1"/>
      <x:c r="L72" s="1"/>
      <x:c r="M72" s="1"/>
      <x:c r="N72" s="1"/>
      <x:c r="O72" s="1"/>
    </x:row>
    <x:row r="73" ht="16.5">
      <x:c r="A73"/>
      <x:c r="B73" s="11"/>
      <x:c r="C73" s="1"/>
      <x:c r="D73" s="19"/>
      <x:c r="E73" s="19"/>
      <x:c r="F73" s="12"/>
      <x:c r="G73" s="13"/>
      <x:c r="H73" s="1"/>
      <x:c r="I73" s="1"/>
      <x:c r="J73" s="1"/>
      <x:c r="K73" s="1"/>
      <x:c r="L73" s="1"/>
      <x:c r="M73" s="1"/>
      <x:c r="N73" s="1"/>
      <x:c r="O73" s="1"/>
    </x:row>
    <x:row r="74" ht="16.5">
      <x:c r="A74"/>
      <x:c r="B74" s="11"/>
      <x:c r="C74" s="1"/>
      <x:c r="D74" s="19"/>
      <x:c r="E74" s="19"/>
      <x:c r="F74" s="12"/>
      <x:c r="G74" s="13"/>
      <x:c r="H74" s="1"/>
      <x:c r="I74" s="1"/>
      <x:c r="J74" s="1"/>
      <x:c r="K74" s="1"/>
      <x:c r="L74" s="1"/>
      <x:c r="M74" s="1"/>
      <x:c r="N74" s="1"/>
      <x:c r="O74" s="1"/>
    </x:row>
    <x:row r="75" ht="16.5">
      <x:c r="A75"/>
      <x:c r="B75" s="11"/>
      <x:c r="C75" s="1"/>
      <x:c r="D75" s="19"/>
      <x:c r="E75" s="19"/>
      <x:c r="F75" s="12"/>
      <x:c r="G75" s="13"/>
      <x:c r="H75" s="1"/>
      <x:c r="I75" s="1"/>
      <x:c r="J75" s="1"/>
      <x:c r="K75" s="1"/>
      <x:c r="L75" s="1"/>
      <x:c r="M75" s="1"/>
      <x:c r="N75" s="1"/>
      <x:c r="O75" s="1"/>
    </x:row>
    <x:row r="76" ht="16.5">
      <x:c r="A76"/>
      <x:c r="B76" s="11"/>
      <x:c r="C76" s="1"/>
      <x:c r="D76" s="19"/>
      <x:c r="E76" s="19"/>
      <x:c r="F76" s="12"/>
      <x:c r="G76" s="13"/>
      <x:c r="H76" s="1"/>
      <x:c r="I76" s="1"/>
      <x:c r="J76" s="1"/>
      <x:c r="K76" s="1"/>
      <x:c r="L76" s="1"/>
      <x:c r="M76" s="1"/>
      <x:c r="N76" s="1"/>
      <x:c r="O76" s="1"/>
    </x:row>
    <x:row r="77" ht="16.5">
      <x:c r="A77"/>
      <x:c r="B77" s="11"/>
      <x:c r="C77" s="1"/>
      <x:c r="D77" s="19"/>
      <x:c r="E77" s="19"/>
      <x:c r="F77" s="12"/>
      <x:c r="G77" s="13"/>
      <x:c r="H77" s="1"/>
      <x:c r="I77" s="1"/>
      <x:c r="J77" s="1"/>
      <x:c r="K77" s="1"/>
      <x:c r="L77" s="1"/>
      <x:c r="M77" s="1"/>
      <x:c r="N77" s="1"/>
      <x:c r="O77" s="1"/>
    </x:row>
    <x:row r="78" ht="16.5">
      <x:c r="A78"/>
      <x:c r="B78" s="11"/>
      <x:c r="C78" s="1"/>
      <x:c r="D78" s="19"/>
      <x:c r="E78" s="19"/>
      <x:c r="F78" s="12"/>
      <x:c r="G78" s="13"/>
      <x:c r="H78" s="1"/>
      <x:c r="I78" s="1"/>
      <x:c r="J78" s="1"/>
      <x:c r="K78" s="1"/>
      <x:c r="L78" s="1"/>
      <x:c r="M78" s="1"/>
      <x:c r="N78" s="1"/>
      <x:c r="O78" s="1"/>
    </x:row>
  </x:sheetData>
  <x:mergeCells>
    <x:mergeCell ref="I5:K5"/>
    <x:mergeCell ref="D5:E5"/>
    <x:mergeCell ref="F5:G5"/>
    <x:mergeCell ref="F40:G40"/>
  </x:mergeCells>
  <x:pageMargins left="0.7" right="0.7" top="0.75" bottom="0.75" header="0.3" footer="0.3"/>
  <x:drawing xmlns:r="http://schemas.openxmlformats.org/officeDocument/2006/relationships" r:id="Reb7bcb4d23ca4e99"/>
  <x:legacyDrawing xmlns:r="http://schemas.openxmlformats.org/officeDocument/2006/relationships" r:id="Rb1303de8d877419f"/>
</x:worksheet>
</file>

<file path=xl/worksheets/sheet4.xml><?xml version="1.0" encoding="utf-8"?>
<x:worksheet xmlns:x="http://schemas.openxmlformats.org/spreadsheetml/2006/main">
  <x:sheetPr>
    <x:tabColor rgb="FF92D050"/>
  </x:sheetPr>
  <x:sheetFormatPr defaultRowHeight="15"/>
  <x:cols>
    <x:col min="1" max="1" width="13.42578125" style="14" customWidth="1"/>
    <x:col min="2" max="2" width="16.42578125" style="6" customWidth="1"/>
    <x:col min="3" max="3" width="19" customWidth="1"/>
    <x:col min="4" max="4" width="16.85546875" style="20" customWidth="1"/>
    <x:col min="5" max="5" width="22.140625" style="20" customWidth="1"/>
    <x:col min="6" max="6" width="22.140625" style="20" customWidth="1"/>
    <x:col min="7" max="7" width="21" customWidth="1"/>
    <x:col min="8" max="8" width="11.42578125" customWidth="1"/>
    <x:col min="9" max="9" width="13.140625" customWidth="1"/>
  </x:cols>
  <x:sheetData>
    <x:row r="1" ht="27" customHeight="1"/>
    <x:row r="2" ht="18">
      <x:c r="A2" s="16" t="str">
        <x:v>DAILY SALES  - MARCH 2026 (THIRD PARD)</x:v>
      </x:c>
      <x:c r="B2" s="16"/>
      <x:c r="C2" s="16"/>
      <x:c r="D2" s="18"/>
      <x:c r="G2" s="20"/>
      <x:c r="H2" s="16"/>
      <x:c r="I2" s="16"/>
      <x:c r="J2" s="16"/>
      <x:c r="K2" s="16"/>
      <x:c r="L2" s="16"/>
      <x:c r="M2" s="16"/>
      <x:c r="N2" s="16"/>
      <x:c r="O2" s="16"/>
      <x:c r="P2" s="16"/>
    </x:row>
    <x:row r="3" ht="18">
      <x:c r="B3" s="24"/>
      <x:c r="C3" s="24"/>
      <x:c r="D3" s="18"/>
      <x:c r="E3" s="18"/>
      <x:c r="F3" s="18"/>
      <x:c r="G3" s="24"/>
      <x:c r="H3" s="24"/>
      <x:c r="I3" s="24"/>
      <x:c r="J3" s="24"/>
      <x:c r="K3" s="24"/>
      <x:c r="L3" s="24"/>
      <x:c r="M3" s="24"/>
      <x:c r="N3" s="24"/>
      <x:c r="O3" s="24"/>
      <x:c r="P3" s="24"/>
    </x:row>
    <x:row r="4" ht="16.5">
      <x:c r="B4" s="11"/>
      <x:c r="C4" s="1"/>
      <x:c r="D4" s="19"/>
      <x:c r="E4" s="19"/>
      <x:c r="F4" s="19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16.5">
      <x:c r="A5" s="21" t="s">
        <x:v>21</x:v>
      </x:c>
      <x:c r="B5" s="22" t="s">
        <x:v>22</x:v>
      </x:c>
      <x:c r="C5" s="106" t="s">
        <x:v>31</x:v>
      </x:c>
      <x:c r="D5" s="106" t="s">
        <x:v>32</x:v>
      </x:c>
      <x:c r="E5" s="106" t="s">
        <x:v>33</x:v>
      </x:c>
      <x:c r="F5" s="106"/>
      <x:c r="G5" s="2"/>
      <x:c r="H5" s="135" t="s">
        <x:v>26</x:v>
      </x:c>
      <x:c r="I5" s="135"/>
      <x:c r="J5" s="135"/>
      <x:c r="O5" s="1"/>
      <x:c r="P5" s="1"/>
    </x:row>
    <x:row r="6" ht="16.5">
      <x:c r="A6" s="21"/>
      <x:c r="B6" s="22"/>
      <x:c r="C6" s="23"/>
      <x:c r="D6" s="69"/>
      <x:c r="E6" s="69"/>
      <x:c r="F6" s="69"/>
      <x:c r="G6" s="2"/>
      <x:c r="H6" s="17"/>
      <x:c r="I6" s="17"/>
      <x:c r="J6" s="17"/>
      <x:c r="O6" s="1"/>
      <x:c r="P6" s="1"/>
    </x:row>
    <x:row r="7" ht="16.5">
      <x:c r="A7" s="15"/>
      <x:c r="B7" s="7"/>
      <x:c r="C7" s="5"/>
      <x:c r="D7" s="70"/>
      <x:c r="E7" s="70"/>
      <x:c r="F7" s="70"/>
      <x:c r="G7" s="2"/>
      <x:c r="H7" s="3" t="str">
        <x:f>C5</x:f>
        <x:v>Kitwe</x:v>
      </x:c>
      <x:c r="I7" s="10" t="str">
        <x:f>IF(C39="","",C39)</x:f>
      </x:c>
      <x:c r="J7" s="4" t="str">
        <x:f>IFERROR($C$39/$B$39,"")</x:f>
      </x:c>
      <x:c r="O7" s="1"/>
      <x:c r="P7" s="1"/>
    </x:row>
    <x:row r="8" ht="16.5">
      <x:c r="A8" s="171" t="n">
        <x:v>46082</x:v>
      </x:c>
      <x:c r="B8" s="52" t="str">
        <x:f t="shared" ref="B8:B38" si="0">IF(SUM(C8:F8)=0,"",SUM(C8:F8))</x:f>
      </x:c>
      <x:c r="C8" s="53"/>
      <x:c r="D8" s="54"/>
      <x:c r="E8" s="54"/>
      <x:c r="F8" s="54"/>
      <x:c r="G8" s="1"/>
      <x:c r="H8" s="3" t="str">
        <x:f>D5</x:f>
        <x:v>Eldo</x:v>
      </x:c>
      <x:c r="I8" s="10" t="str">
        <x:f>IF(D39="","",D39)</x:f>
      </x:c>
      <x:c r="J8" s="4" t="str">
        <x:f>IFERROR($D$39/$B$39,"")</x:f>
      </x:c>
      <x:c r="O8" s="1"/>
      <x:c r="P8" s="1"/>
    </x:row>
    <x:row r="9" ht="16.5">
      <x:c r="A9" s="171" t="n">
        <x:v>46083</x:v>
      </x:c>
      <x:c r="B9" s="52" t="str">
        <x:f t="shared" si="0">IF(SUM(C9:F9)=0,"",SUM(C9:F9))</x:f>
      </x:c>
      <x:c r="C9" s="53"/>
      <x:c r="D9" s="54"/>
      <x:c r="E9" s="54"/>
      <x:c r="F9" s="54"/>
      <x:c r="G9" s="1"/>
      <x:c r="H9" s="3" t="n">
        <x:f>F5</x:f>
        <x:v>0</x:v>
      </x:c>
      <x:c r="I9" s="10" t="str">
        <x:f>IF(F39="","",F39)</x:f>
      </x:c>
      <x:c r="J9" s="4" t="str">
        <x:f>IFERROR($F$39/$B$39,"")</x:f>
      </x:c>
      <x:c r="O9" s="1"/>
      <x:c r="P9" s="1"/>
    </x:row>
    <x:row r="10" ht="16.5">
      <x:c r="A10" s="171" t="n">
        <x:v>46084</x:v>
      </x:c>
      <x:c r="B10" s="52" t="str">
        <x:f t="shared" si="0">IF(SUM(C10:F10)=0,"",SUM(C10:F10))</x:f>
      </x:c>
      <x:c r="C10" s="53"/>
      <x:c r="D10" s="54"/>
      <x:c r="E10" s="54"/>
      <x:c r="F10" s="54"/>
      <x:c r="G10" s="1"/>
      <x:c r="H10" s="39"/>
      <x:c r="I10" s="40" t="str">
        <x:f>IF(SUM(I7:I9)=0,"",SUM(I7:I9))</x:f>
      </x:c>
      <x:c r="J10" s="41" t="str">
        <x:f>IF(SUM(J7:J9)=0,"",SUM(J7:J9))</x:f>
      </x:c>
      <x:c r="K10" s="1"/>
      <x:c r="L10" s="1"/>
      <x:c r="M10" s="1"/>
      <x:c r="N10" s="1"/>
      <x:c r="O10" s="1"/>
      <x:c r="P10" s="1"/>
    </x:row>
    <x:row r="11" ht="16.5">
      <x:c r="A11" s="171" t="n">
        <x:v>46085</x:v>
      </x:c>
      <x:c r="B11" s="52" t="str">
        <x:f t="shared" si="0">IF(SUM(C11:F11)=0,"",SUM(C11:F11))</x:f>
      </x:c>
      <x:c r="C11" s="53"/>
      <x:c r="D11" s="54"/>
      <x:c r="E11" s="54"/>
      <x:c r="F11" s="54"/>
      <x:c r="G11" s="1"/>
      <x:c r="H11" s="1"/>
      <x:c r="I11" s="38"/>
      <x:c r="J11" s="30"/>
      <x:c r="K11" s="1"/>
      <x:c r="L11" s="1"/>
      <x:c r="M11" s="1"/>
      <x:c r="N11" s="1"/>
      <x:c r="O11" s="1"/>
      <x:c r="P11" s="1"/>
    </x:row>
    <x:row r="12" ht="16.5">
      <x:c r="A12" s="171" t="n">
        <x:v>46086</x:v>
      </x:c>
      <x:c r="B12" s="52" t="str">
        <x:f t="shared" si="0">IF(SUM(C12:F12)=0,"",SUM(C12:F12))</x:f>
      </x:c>
      <x:c r="C12" s="53"/>
      <x:c r="D12" s="54"/>
      <x:c r="E12" s="54"/>
      <x:c r="F12" s="54"/>
      <x:c r="G12" s="1"/>
      <x:c r="H12" s="1"/>
      <x:c r="I12" s="38"/>
      <x:c r="J12" s="30"/>
      <x:c r="K12" s="1"/>
      <x:c r="L12" s="1"/>
      <x:c r="M12" s="1"/>
      <x:c r="N12" s="1"/>
      <x:c r="O12" s="1"/>
      <x:c r="P12" s="1"/>
    </x:row>
    <x:row r="13" ht="16.5">
      <x:c r="A13" s="171" t="n">
        <x:v>46087</x:v>
      </x:c>
      <x:c r="B13" s="52" t="str">
        <x:f t="shared" si="0">IF(SUM(C13:F13)=0,"",SUM(C13:F13))</x:f>
      </x:c>
      <x:c r="C13" s="53"/>
      <x:c r="D13" s="54"/>
      <x:c r="E13" s="54"/>
      <x:c r="F13" s="54"/>
      <x:c r="G13" s="1"/>
      <x:c r="H13" s="1"/>
      <x:c r="I13" s="1"/>
      <x:c r="J13" s="1"/>
      <x:c r="K13" s="1"/>
      <x:c r="L13" s="1"/>
      <x:c r="M13" s="1"/>
      <x:c r="N13" s="1"/>
      <x:c r="O13" s="1"/>
      <x:c r="P13" s="1"/>
    </x:row>
    <x:row r="14" ht="16.5">
      <x:c r="A14" s="171" t="n">
        <x:v>46088</x:v>
      </x:c>
      <x:c r="B14" s="52" t="str">
        <x:f t="shared" si="0">IF(SUM(C14:F14)=0,"",SUM(C14:F14))</x:f>
      </x:c>
      <x:c r="C14" s="53"/>
      <x:c r="D14" s="54"/>
      <x:c r="E14" s="54"/>
      <x:c r="F14" s="54"/>
      <x:c r="G14" s="1"/>
      <x:c r="H14" s="1"/>
      <x:c r="I14" s="27"/>
      <x:c r="J14" s="28"/>
      <x:c r="K14" s="1"/>
      <x:c r="L14" s="1"/>
      <x:c r="M14" s="1"/>
      <x:c r="N14" s="1"/>
      <x:c r="O14" s="1"/>
      <x:c r="P14" s="1"/>
    </x:row>
    <x:row r="15" ht="16.5">
      <x:c r="A15" s="171" t="n">
        <x:v>46089</x:v>
      </x:c>
      <x:c r="B15" s="52" t="str">
        <x:f t="shared" si="0">IF(SUM(C15:F15)=0,"",SUM(C15:F15))</x:f>
      </x:c>
      <x:c r="C15" s="53"/>
      <x:c r="D15" s="54"/>
      <x:c r="E15" s="54"/>
      <x:c r="F15" s="54"/>
      <x:c r="G15" s="1"/>
      <x:c r="H15" s="1"/>
      <x:c r="I15" s="1"/>
      <x:c r="J15" s="1"/>
      <x:c r="K15" s="1"/>
      <x:c r="L15" s="1"/>
      <x:c r="M15" s="1"/>
      <x:c r="N15" s="1"/>
      <x:c r="O15" s="1"/>
      <x:c r="P15" s="1"/>
    </x:row>
    <x:row r="16" ht="16.5">
      <x:c r="A16" s="171" t="n">
        <x:v>46090</x:v>
      </x:c>
      <x:c r="B16" s="52" t="str">
        <x:f t="shared" si="0">IF(SUM(C16:F16)=0,"",SUM(C16:F16))</x:f>
      </x:c>
      <x:c r="C16" s="53"/>
      <x:c r="D16" s="54"/>
      <x:c r="E16" s="54"/>
      <x:c r="F16" s="54"/>
      <x:c r="G16" s="1"/>
      <x:c r="H16" s="1"/>
      <x:c r="I16" s="1"/>
      <x:c r="J16" s="1"/>
      <x:c r="K16" s="1"/>
      <x:c r="L16" s="1"/>
      <x:c r="M16" s="1"/>
      <x:c r="N16" s="1"/>
      <x:c r="O16" s="1"/>
      <x:c r="P16" s="1"/>
    </x:row>
    <x:row r="17" ht="16.5">
      <x:c r="A17" s="171" t="n">
        <x:v>46091</x:v>
      </x:c>
      <x:c r="B17" s="52" t="str">
        <x:f t="shared" si="0">IF(SUM(C17:F17)=0,"",SUM(C17:F17))</x:f>
      </x:c>
      <x:c r="C17" s="53"/>
      <x:c r="D17" s="54"/>
      <x:c r="E17" s="54"/>
      <x:c r="F17" s="54"/>
      <x:c r="G17" s="1"/>
      <x:c r="H17" s="1"/>
      <x:c r="I17" s="1"/>
      <x:c r="J17" s="1"/>
      <x:c r="K17" s="1"/>
      <x:c r="L17" s="1"/>
      <x:c r="M17" s="1"/>
      <x:c r="N17" s="1"/>
      <x:c r="O17" s="1"/>
      <x:c r="P17" s="1"/>
    </x:row>
    <x:row r="18" ht="16.5">
      <x:c r="A18" s="171" t="n">
        <x:v>46092</x:v>
      </x:c>
      <x:c r="B18" s="52" t="str">
        <x:f t="shared" si="0">IF(SUM(C18:F18)=0,"",SUM(C18:F18))</x:f>
      </x:c>
      <x:c r="C18" s="53"/>
      <x:c r="D18" s="54"/>
      <x:c r="E18" s="54"/>
      <x:c r="F18" s="54"/>
      <x:c r="G18" s="1"/>
      <x:c r="H18" s="1"/>
      <x:c r="I18" s="1"/>
      <x:c r="J18" s="1"/>
      <x:c r="K18" s="1"/>
      <x:c r="L18" s="1"/>
      <x:c r="M18" s="1"/>
      <x:c r="N18" s="1"/>
      <x:c r="O18" s="1"/>
      <x:c r="P18" s="1"/>
    </x:row>
    <x:row r="19" ht="16.5">
      <x:c r="A19" s="171" t="n">
        <x:v>46093</x:v>
      </x:c>
      <x:c r="B19" s="52" t="str">
        <x:f t="shared" si="0">IF(SUM(C19:F19)=0,"",SUM(C19:F19))</x:f>
      </x:c>
      <x:c r="C19" s="53"/>
      <x:c r="D19" s="54"/>
      <x:c r="E19" s="54"/>
      <x:c r="F19" s="54"/>
      <x:c r="G19" s="1"/>
      <x:c r="H19" s="1"/>
      <x:c r="I19" s="1"/>
      <x:c r="J19" s="1"/>
      <x:c r="K19" s="1"/>
      <x:c r="L19" s="1"/>
      <x:c r="M19" s="1"/>
      <x:c r="N19" s="1"/>
      <x:c r="O19" s="1"/>
      <x:c r="P19" s="1"/>
    </x:row>
    <x:row r="20" ht="16.5">
      <x:c r="A20" s="171" t="n">
        <x:v>46094</x:v>
      </x:c>
      <x:c r="B20" s="52" t="str">
        <x:f t="shared" si="0">IF(SUM(C20:F20)=0,"",SUM(C20:F20))</x:f>
      </x:c>
      <x:c r="C20" s="53"/>
      <x:c r="D20" s="54"/>
      <x:c r="E20" s="54"/>
      <x:c r="F20" s="54"/>
      <x:c r="G20" s="1"/>
      <x:c r="H20" s="1"/>
      <x:c r="I20" s="1"/>
      <x:c r="J20" s="1"/>
      <x:c r="K20" s="1"/>
      <x:c r="L20" s="1"/>
      <x:c r="M20" s="1"/>
      <x:c r="N20" s="1"/>
      <x:c r="O20" s="1"/>
      <x:c r="P20" s="1"/>
    </x:row>
    <x:row r="21" ht="16.5">
      <x:c r="A21" s="171" t="n">
        <x:v>46095</x:v>
      </x:c>
      <x:c r="B21" s="52" t="str">
        <x:f t="shared" si="0">IF(SUM(C21:F21)=0,"",SUM(C21:F21))</x:f>
      </x:c>
      <x:c r="C21" s="53"/>
      <x:c r="D21" s="54"/>
      <x:c r="E21" s="54"/>
      <x:c r="F21" s="54"/>
      <x:c r="G21" s="1"/>
      <x:c r="H21" s="1"/>
      <x:c r="I21" s="1"/>
      <x:c r="J21" s="1"/>
      <x:c r="K21" s="1"/>
      <x:c r="L21" s="1"/>
      <x:c r="M21" s="1"/>
      <x:c r="N21" s="1"/>
      <x:c r="O21" s="1"/>
      <x:c r="P21" s="1"/>
    </x:row>
    <x:row r="22" ht="16.5">
      <x:c r="A22" s="171" t="n">
        <x:v>46096</x:v>
      </x:c>
      <x:c r="B22" s="52" t="str">
        <x:f t="shared" si="0">IF(SUM(C22:F22)=0,"",SUM(C22:F22))</x:f>
      </x:c>
      <x:c r="C22" s="53"/>
      <x:c r="D22" s="54"/>
      <x:c r="E22" s="54"/>
      <x:c r="F22" s="54"/>
      <x:c r="G22" s="1"/>
      <x:c r="H22" s="1"/>
      <x:c r="I22" s="1"/>
      <x:c r="J22" s="1"/>
      <x:c r="K22" s="1"/>
      <x:c r="L22" s="1"/>
      <x:c r="M22" s="1"/>
      <x:c r="N22" s="1"/>
      <x:c r="O22" s="1"/>
      <x:c r="P22" s="1"/>
    </x:row>
    <x:row r="23" ht="16.5">
      <x:c r="A23" s="171" t="n">
        <x:v>46097</x:v>
      </x:c>
      <x:c r="B23" s="52" t="str">
        <x:f t="shared" si="0">IF(SUM(C23:F23)=0,"",SUM(C23:F23))</x:f>
      </x:c>
      <x:c r="C23" s="53"/>
      <x:c r="D23" s="54"/>
      <x:c r="E23" s="54"/>
      <x:c r="F23" s="54"/>
      <x:c r="G23" s="1"/>
      <x:c r="H23" s="1"/>
      <x:c r="I23" s="1"/>
      <x:c r="J23" s="1"/>
      <x:c r="K23" s="1"/>
      <x:c r="L23" s="1"/>
      <x:c r="M23" s="1"/>
      <x:c r="N23" s="1"/>
      <x:c r="O23" s="1"/>
      <x:c r="P23" s="1"/>
    </x:row>
    <x:row r="24" ht="16.5">
      <x:c r="A24" s="171" t="n">
        <x:v>46098</x:v>
      </x:c>
      <x:c r="B24" s="52" t="str">
        <x:f t="shared" si="0">IF(SUM(C24:F24)=0,"",SUM(C24:F24))</x:f>
      </x:c>
      <x:c r="C24" s="53"/>
      <x:c r="D24" s="54"/>
      <x:c r="E24" s="54"/>
      <x:c r="F24" s="54"/>
      <x:c r="G24" s="1"/>
      <x:c r="H24" s="1"/>
      <x:c r="I24" s="1"/>
      <x:c r="J24" s="1"/>
      <x:c r="K24" s="1"/>
      <x:c r="L24" s="1"/>
      <x:c r="M24" s="1"/>
      <x:c r="N24" s="1"/>
      <x:c r="O24" s="1"/>
      <x:c r="P24" s="1"/>
    </x:row>
    <x:row r="25" ht="16.5">
      <x:c r="A25" s="171" t="n">
        <x:v>46099</x:v>
      </x:c>
      <x:c r="B25" s="52" t="str">
        <x:f t="shared" si="0">IF(SUM(C25:F25)=0,"",SUM(C25:F25))</x:f>
      </x:c>
      <x:c r="C25" s="53"/>
      <x:c r="D25" s="54"/>
      <x:c r="E25" s="54"/>
      <x:c r="F25" s="54"/>
      <x:c r="G25" s="1"/>
      <x:c r="H25" s="34"/>
      <x:c r="I25" s="34"/>
      <x:c r="J25" s="34"/>
      <x:c r="K25" s="1"/>
      <x:c r="L25" s="1"/>
      <x:c r="M25" s="1"/>
      <x:c r="N25" s="1"/>
      <x:c r="O25" s="1"/>
      <x:c r="P25" s="1"/>
    </x:row>
    <x:row r="26" ht="16.5">
      <x:c r="A26" s="171" t="n">
        <x:v>46100</x:v>
      </x:c>
      <x:c r="B26" s="52" t="str">
        <x:f t="shared" si="0">IF(SUM(C26:F26)=0,"",SUM(C26:F26))</x:f>
      </x:c>
      <x:c r="C26" s="53"/>
      <x:c r="D26" s="54"/>
      <x:c r="E26" s="54"/>
      <x:c r="F26" s="54"/>
      <x:c r="G26" s="1"/>
      <x:c r="H26" s="33"/>
      <x:c r="I26" s="33"/>
      <x:c r="J26" s="33"/>
      <x:c r="K26" s="1"/>
      <x:c r="L26" s="1"/>
      <x:c r="M26" s="1"/>
      <x:c r="N26" s="1"/>
      <x:c r="O26" s="1"/>
      <x:c r="P26" s="1"/>
    </x:row>
    <x:row r="27" ht="16.5">
      <x:c r="A27" s="171" t="n">
        <x:v>46101</x:v>
      </x:c>
      <x:c r="B27" s="52" t="str">
        <x:f t="shared" si="0">IF(SUM(C27:F27)=0,"",SUM(C27:F27))</x:f>
      </x:c>
      <x:c r="C27" s="53"/>
      <x:c r="D27" s="54"/>
      <x:c r="E27" s="54"/>
      <x:c r="F27" s="54"/>
      <x:c r="G27" s="1"/>
      <x:c r="H27" s="34"/>
      <x:c r="I27" s="35"/>
      <x:c r="J27" s="36"/>
      <x:c r="K27" s="1"/>
      <x:c r="L27" s="1"/>
      <x:c r="M27" s="1"/>
      <x:c r="N27" s="1"/>
      <x:c r="O27" s="1"/>
      <x:c r="P27" s="1"/>
    </x:row>
    <x:row r="28" ht="16.5">
      <x:c r="A28" s="171" t="n">
        <x:v>46102</x:v>
      </x:c>
      <x:c r="B28" s="52" t="str">
        <x:f t="shared" si="0">IF(SUM(C28:F28)=0,"",SUM(C28:F28))</x:f>
      </x:c>
      <x:c r="C28" s="53"/>
      <x:c r="D28" s="54"/>
      <x:c r="E28" s="54"/>
      <x:c r="F28" s="54"/>
      <x:c r="G28" s="1"/>
      <x:c r="H28" s="34"/>
      <x:c r="I28" s="37"/>
      <x:c r="J28" s="36"/>
      <x:c r="K28" s="1"/>
      <x:c r="L28" s="1"/>
      <x:c r="M28" s="1"/>
      <x:c r="N28" s="1"/>
      <x:c r="O28" s="1"/>
      <x:c r="P28" s="1"/>
    </x:row>
    <x:row r="29" ht="16.5">
      <x:c r="A29" s="171" t="n">
        <x:v>46103</x:v>
      </x:c>
      <x:c r="B29" s="52" t="str">
        <x:f t="shared" si="0">IF(SUM(C29:F29)=0,"",SUM(C29:F29))</x:f>
      </x:c>
      <x:c r="C29" s="55"/>
      <x:c r="D29" s="56"/>
      <x:c r="E29" s="56"/>
      <x:c r="F29" s="56"/>
      <x:c r="G29" s="1"/>
      <x:c r="H29" s="1"/>
      <x:c r="I29" s="29"/>
      <x:c r="J29" s="30"/>
      <x:c r="K29" s="1"/>
      <x:c r="L29" s="1"/>
      <x:c r="M29" s="1"/>
      <x:c r="N29" s="1"/>
      <x:c r="O29" s="1"/>
      <x:c r="P29" s="1"/>
    </x:row>
    <x:row r="30" ht="16.5">
      <x:c r="A30" s="171" t="n">
        <x:v>46104</x:v>
      </x:c>
      <x:c r="B30" s="52" t="str">
        <x:f t="shared" si="0">IF(SUM(C30:F30)=0,"",SUM(C30:F30))</x:f>
      </x:c>
      <x:c r="C30" s="53"/>
      <x:c r="D30" s="54"/>
      <x:c r="E30" s="54"/>
      <x:c r="F30" s="54"/>
      <x:c r="G30" s="1"/>
      <x:c r="H30" s="1"/>
      <x:c r="I30" s="31"/>
      <x:c r="J30" s="30"/>
      <x:c r="K30" s="1"/>
      <x:c r="L30" s="1"/>
      <x:c r="M30" s="1"/>
      <x:c r="N30" s="1"/>
      <x:c r="O30" s="1"/>
      <x:c r="P30" s="1"/>
    </x:row>
    <x:row r="31" ht="16.5">
      <x:c r="A31" s="171" t="n">
        <x:v>46105</x:v>
      </x:c>
      <x:c r="B31" s="52" t="str">
        <x:f t="shared" si="0">IF(SUM(C31:F31)=0,"",SUM(C31:F31))</x:f>
      </x:c>
      <x:c r="C31" s="53"/>
      <x:c r="D31" s="54"/>
      <x:c r="E31" s="54"/>
      <x:c r="F31" s="54"/>
      <x:c r="G31" s="1"/>
      <x:c r="H31" s="1"/>
      <x:c r="I31" s="29"/>
      <x:c r="J31" s="30"/>
      <x:c r="K31" s="1"/>
      <x:c r="L31" s="1"/>
      <x:c r="M31" s="1"/>
      <x:c r="N31" s="1"/>
      <x:c r="O31" s="1"/>
      <x:c r="P31" s="1"/>
    </x:row>
    <x:row r="32" ht="16.5">
      <x:c r="A32" s="171" t="n">
        <x:v>46106</x:v>
      </x:c>
      <x:c r="B32" s="52" t="str">
        <x:f t="shared" si="0">IF(SUM(C32:F32)=0,"",SUM(C32:F32))</x:f>
      </x:c>
      <x:c r="C32" s="53"/>
      <x:c r="D32" s="54"/>
      <x:c r="E32" s="54"/>
      <x:c r="F32" s="54"/>
      <x:c r="G32" s="1"/>
      <x:c r="H32" s="1"/>
      <x:c r="I32" s="31"/>
      <x:c r="J32" s="30"/>
      <x:c r="K32" s="1"/>
      <x:c r="L32" s="1"/>
      <x:c r="M32" s="1"/>
      <x:c r="N32" s="1"/>
      <x:c r="O32" s="1"/>
      <x:c r="P32" s="1"/>
    </x:row>
    <x:row r="33" ht="16.5">
      <x:c r="A33" s="171" t="n">
        <x:v>46107</x:v>
      </x:c>
      <x:c r="B33" s="52" t="str">
        <x:f t="shared" si="0">IF(SUM(C33:F33)=0,"",SUM(C33:F33))</x:f>
      </x:c>
      <x:c r="C33" s="53"/>
      <x:c r="D33" s="54"/>
      <x:c r="E33" s="54"/>
      <x:c r="F33" s="54"/>
      <x:c r="G33" s="1"/>
      <x:c r="H33" s="1"/>
      <x:c r="I33" s="32"/>
      <x:c r="J33" s="30"/>
      <x:c r="K33" s="1"/>
      <x:c r="L33" s="1"/>
      <x:c r="M33" s="1"/>
      <x:c r="N33" s="1"/>
      <x:c r="O33" s="1"/>
      <x:c r="P33" s="1"/>
    </x:row>
    <x:row r="34" ht="16.5">
      <x:c r="A34" s="171" t="n">
        <x:v>46108</x:v>
      </x:c>
      <x:c r="B34" s="52" t="str">
        <x:f t="shared" si="0">IF(SUM(C34:F34)=0,"",SUM(C34:F34))</x:f>
      </x:c>
      <x:c r="C34" s="53"/>
      <x:c r="D34" s="54"/>
      <x:c r="E34" s="54"/>
      <x:c r="F34" s="54"/>
      <x:c r="G34" s="1"/>
      <x:c r="H34" s="1"/>
      <x:c r="I34" s="1"/>
      <x:c r="J34" s="1"/>
      <x:c r="K34" s="1"/>
      <x:c r="L34" s="1"/>
      <x:c r="M34" s="1"/>
      <x:c r="N34" s="1"/>
      <x:c r="O34" s="1"/>
      <x:c r="P34" s="1"/>
    </x:row>
    <x:row r="35" ht="16.5">
      <x:c r="A35" s="171" t="n">
        <x:v>46109</x:v>
      </x:c>
      <x:c r="B35" s="52" t="str">
        <x:f t="shared" si="0">IF(SUM(C35:F35)=0,"",SUM(C35:F35))</x:f>
      </x:c>
      <x:c r="C35" s="53"/>
      <x:c r="D35" s="54"/>
      <x:c r="E35" s="54"/>
      <x:c r="F35" s="54"/>
      <x:c r="G35" s="1"/>
      <x:c r="H35" s="1"/>
      <x:c r="I35" s="1"/>
      <x:c r="J35" s="1"/>
      <x:c r="K35" s="1"/>
      <x:c r="L35" s="1"/>
      <x:c r="M35" s="1"/>
      <x:c r="N35" s="1"/>
      <x:c r="O35" s="1"/>
      <x:c r="P35" s="1"/>
    </x:row>
    <x:row r="36" ht="16.5">
      <x:c r="A36" s="171" t="n">
        <x:v>46110</x:v>
      </x:c>
      <x:c r="B36" s="52" t="str">
        <x:f t="shared" si="0">IF(SUM(C36:F36)=0,"",SUM(C36:F36))</x:f>
      </x:c>
      <x:c r="C36" s="53"/>
      <x:c r="D36" s="54"/>
      <x:c r="E36" s="54"/>
      <x:c r="F36" s="54"/>
      <x:c r="G36" s="1"/>
      <x:c r="H36" s="1"/>
      <x:c r="I36" s="1"/>
      <x:c r="J36" s="1"/>
      <x:c r="K36" s="1"/>
      <x:c r="L36" s="1"/>
      <x:c r="M36" s="1"/>
      <x:c r="N36" s="1"/>
      <x:c r="O36" s="1"/>
      <x:c r="P36" s="1"/>
    </x:row>
    <x:row r="37" ht="16.5">
      <x:c r="A37" s="171" t="n">
        <x:v>46111</x:v>
      </x:c>
      <x:c r="B37" s="52" t="str">
        <x:f>IF(SUM(C37:F37)=0,"",SUM(C37:F37))</x:f>
      </x:c>
      <x:c r="C37" s="53"/>
      <x:c r="D37" s="54"/>
      <x:c r="E37" s="54"/>
      <x:c r="F37" s="54"/>
      <x:c r="G37" s="1"/>
      <x:c r="H37" s="1"/>
      <x:c r="I37" s="1"/>
      <x:c r="J37" s="1"/>
      <x:c r="K37" s="1"/>
      <x:c r="L37" s="1"/>
      <x:c r="M37" s="1"/>
      <x:c r="N37" s="1"/>
      <x:c r="O37" s="1"/>
      <x:c r="P37" s="1"/>
    </x:row>
    <x:row r="38" ht="16.5">
      <x:c r="A38" s="171" t="n">
        <x:v>46112</x:v>
      </x:c>
      <x:c r="B38" s="52" t="str">
        <x:f t="shared" si="0">IF(SUM(C38:F38)=0,"",SUM(C38:F38))</x:f>
      </x:c>
      <x:c r="C38" s="53"/>
      <x:c r="D38" s="54"/>
      <x:c r="E38" s="54"/>
      <x:c r="F38" s="54"/>
      <x:c r="G38" s="1"/>
      <x:c r="H38" s="1"/>
      <x:c r="I38" s="1"/>
      <x:c r="J38" s="1"/>
      <x:c r="K38" s="1"/>
      <x:c r="L38" s="1"/>
      <x:c r="M38" s="1"/>
      <x:c r="N38" s="1"/>
      <x:c r="O38" s="1"/>
      <x:c r="P38" s="1"/>
    </x:row>
    <x:row r="39" ht="16.5">
      <x:c r="A39" s="51"/>
      <x:c r="B39" s="57" t="str">
        <x:f>IF(SUM(B8:B38)=0,"",SUM(B8:B38))</x:f>
      </x:c>
      <x:c r="C39" s="58" t="str">
        <x:f>IF(SUM(C8:C38)=0,"",SUM(C8:C38))</x:f>
      </x:c>
      <x:c r="D39" s="59" t="str">
        <x:f>IF(SUM(D8:D38)=0,"",SUM(D8:D38))</x:f>
      </x:c>
      <x:c r="E39" s="59" t="str">
        <x:f>IF(SUM(E8:E38)=0,"",SUM(E8:E38))</x:f>
      </x:c>
      <x:c r="F39" s="59" t="str">
        <x:f>IF(SUM(F8:F38)=0,"",SUM(F8:F38))</x:f>
      </x:c>
      <x:c r="G39" s="1"/>
      <x:c r="H39" s="1"/>
      <x:c r="I39" s="1"/>
      <x:c r="J39" s="1"/>
      <x:c r="K39" s="1"/>
      <x:c r="L39" s="1"/>
      <x:c r="M39" s="1"/>
      <x:c r="N39" s="1"/>
      <x:c r="O39" s="1"/>
      <x:c r="P39" s="1"/>
    </x:row>
    <x:row r="40" ht="16.5">
      <x:c r="B40" s="11"/>
      <x:c r="C40" s="1"/>
      <x:c r="D40" s="19"/>
      <x:c r="E40" s="19"/>
      <x:c r="F40" s="19"/>
      <x:c r="G40" s="1"/>
      <x:c r="H40" s="1"/>
      <x:c r="I40" s="1"/>
      <x:c r="J40" s="1"/>
      <x:c r="K40" s="1"/>
      <x:c r="L40" s="1"/>
      <x:c r="M40" s="1"/>
      <x:c r="N40" s="1"/>
      <x:c r="O40" s="1"/>
      <x:c r="P40" s="1"/>
    </x:row>
    <x:row r="41" ht="16.5">
      <x:c r="B41" s="11"/>
      <x:c r="C41" s="27"/>
      <x:c r="D41" s="19"/>
      <x:c r="E41" s="19"/>
      <x:c r="F41" s="19"/>
      <x:c r="G41" s="1"/>
      <x:c r="H41" s="1"/>
      <x:c r="I41" s="1"/>
      <x:c r="J41" s="1"/>
      <x:c r="K41" s="1"/>
      <x:c r="L41" s="1"/>
      <x:c r="M41" s="1"/>
      <x:c r="N41" s="1"/>
      <x:c r="O41" s="1"/>
      <x:c r="P41" s="1"/>
    </x:row>
    <x:row r="42" ht="16.5">
      <x:c r="B42" s="11"/>
      <x:c r="C42" s="27"/>
      <x:c r="D42" s="19"/>
      <x:c r="E42" s="19"/>
      <x:c r="F42" s="19"/>
      <x:c r="G42" s="1"/>
      <x:c r="H42" s="1"/>
      <x:c r="I42" s="1"/>
      <x:c r="J42" s="1"/>
      <x:c r="K42" s="1"/>
      <x:c r="L42" s="1"/>
      <x:c r="M42" s="1"/>
      <x:c r="N42" s="1"/>
      <x:c r="O42" s="1"/>
      <x:c r="P42" s="1"/>
    </x:row>
    <x:row r="43" ht="16.5">
      <x:c r="B43" s="11"/>
      <x:c r="C43" s="27"/>
      <x:c r="D43" s="19"/>
      <x:c r="E43" s="19"/>
      <x:c r="F43" s="19"/>
      <x:c r="G43" s="1"/>
      <x:c r="H43" s="1"/>
      <x:c r="I43" s="1"/>
      <x:c r="J43" s="1"/>
      <x:c r="K43" s="1"/>
      <x:c r="L43" s="1"/>
      <x:c r="M43" s="1"/>
      <x:c r="N43" s="1"/>
      <x:c r="O43" s="1"/>
      <x:c r="P43" s="1"/>
    </x:row>
    <x:row r="44" ht="16.5">
      <x:c r="B44" s="11"/>
      <x:c r="C44" s="1"/>
      <x:c r="D44" s="19"/>
      <x:c r="E44" s="19"/>
      <x:c r="F44" s="19"/>
      <x:c r="G44" s="1"/>
      <x:c r="H44" s="1"/>
      <x:c r="I44" s="1"/>
      <x:c r="J44" s="1"/>
      <x:c r="K44" s="1"/>
      <x:c r="L44" s="1"/>
      <x:c r="M44" s="1"/>
      <x:c r="N44" s="1"/>
      <x:c r="O44" s="1"/>
      <x:c r="P44" s="1"/>
    </x:row>
    <x:row r="45" ht="16.5">
      <x:c r="B45" s="11"/>
      <x:c r="C45" s="1"/>
      <x:c r="D45" s="19"/>
      <x:c r="E45" s="19"/>
      <x:c r="F45" s="19"/>
      <x:c r="G45" s="1"/>
      <x:c r="H45" s="1"/>
      <x:c r="I45" s="1"/>
      <x:c r="J45" s="1"/>
      <x:c r="K45" s="1"/>
      <x:c r="L45" s="1"/>
      <x:c r="M45" s="1"/>
      <x:c r="N45" s="1"/>
      <x:c r="O45" s="1"/>
      <x:c r="P45" s="1"/>
    </x:row>
    <x:row r="46" ht="16.5">
      <x:c r="B46" s="11"/>
      <x:c r="C46" s="1"/>
      <x:c r="D46" s="19"/>
      <x:c r="E46" s="19"/>
      <x:c r="F46" s="19"/>
      <x:c r="G46" s="1"/>
      <x:c r="H46" s="1"/>
      <x:c r="I46" s="1"/>
      <x:c r="J46" s="1"/>
      <x:c r="K46" s="1"/>
      <x:c r="L46" s="1"/>
      <x:c r="M46" s="1"/>
      <x:c r="N46" s="1"/>
      <x:c r="O46" s="1"/>
      <x:c r="P46" s="1"/>
    </x:row>
    <x:row r="47" ht="16.5">
      <x:c r="B47" s="11"/>
      <x:c r="C47" s="1"/>
      <x:c r="D47" s="19"/>
      <x:c r="E47" s="19"/>
      <x:c r="F47" s="19"/>
      <x:c r="G47" s="1"/>
      <x:c r="H47" s="1"/>
      <x:c r="I47" s="1"/>
      <x:c r="J47" s="1"/>
      <x:c r="K47" s="1"/>
      <x:c r="L47" s="1"/>
      <x:c r="M47" s="1"/>
      <x:c r="N47" s="1"/>
      <x:c r="O47" s="1"/>
      <x:c r="P47" s="1"/>
    </x:row>
    <x:row r="48" ht="16.5">
      <x:c r="A48"/>
      <x:c r="B48" s="11"/>
      <x:c r="C48" s="1"/>
      <x:c r="D48" s="19"/>
      <x:c r="E48" s="19"/>
      <x:c r="F48" s="19"/>
      <x:c r="G48" s="1"/>
      <x:c r="H48" s="1"/>
      <x:c r="I48" s="1"/>
      <x:c r="J48" s="1"/>
      <x:c r="K48" s="1"/>
      <x:c r="L48" s="1"/>
      <x:c r="M48" s="1"/>
      <x:c r="N48" s="1"/>
      <x:c r="O48" s="1"/>
      <x:c r="P48" s="1"/>
    </x:row>
    <x:row r="49" ht="16.5">
      <x:c r="A49"/>
      <x:c r="B49" s="11"/>
      <x:c r="C49" s="1"/>
      <x:c r="D49" s="19"/>
      <x:c r="E49" s="19"/>
      <x:c r="F49" s="19"/>
      <x:c r="G49" s="1"/>
      <x:c r="H49" s="1"/>
      <x:c r="I49" s="1"/>
      <x:c r="J49" s="1"/>
      <x:c r="K49" s="1"/>
      <x:c r="L49" s="1"/>
      <x:c r="M49" s="1"/>
      <x:c r="N49" s="1"/>
      <x:c r="O49" s="1"/>
      <x:c r="P49" s="1"/>
    </x:row>
    <x:row r="50" ht="16.5">
      <x:c r="A50"/>
      <x:c r="B50" s="11"/>
      <x:c r="C50" s="1"/>
      <x:c r="D50" s="19"/>
      <x:c r="E50" s="19"/>
      <x:c r="F50" s="19"/>
      <x:c r="G50" s="1"/>
      <x:c r="H50" s="1"/>
      <x:c r="I50" s="1"/>
      <x:c r="J50" s="1"/>
      <x:c r="K50" s="1"/>
      <x:c r="L50" s="1"/>
      <x:c r="M50" s="1"/>
      <x:c r="N50" s="1"/>
      <x:c r="O50" s="1"/>
      <x:c r="P50" s="1"/>
    </x:row>
    <x:row r="51" ht="16.5">
      <x:c r="A51"/>
      <x:c r="B51" s="11"/>
      <x:c r="C51" s="1"/>
      <x:c r="D51" s="19"/>
      <x:c r="E51" s="19"/>
      <x:c r="F51" s="19"/>
      <x:c r="G51" s="1"/>
      <x:c r="H51" s="1"/>
      <x:c r="I51" s="1"/>
      <x:c r="J51" s="1"/>
      <x:c r="K51" s="1"/>
      <x:c r="L51" s="1"/>
      <x:c r="M51" s="1"/>
      <x:c r="N51" s="1"/>
      <x:c r="O51" s="1"/>
      <x:c r="P51" s="1"/>
    </x:row>
    <x:row r="52" ht="16.5">
      <x:c r="A52"/>
      <x:c r="B52" s="11"/>
      <x:c r="C52" s="1"/>
      <x:c r="D52" s="19"/>
      <x:c r="E52" s="19"/>
      <x:c r="F52" s="19"/>
      <x:c r="G52" s="1"/>
      <x:c r="H52" s="1"/>
      <x:c r="I52" s="1"/>
      <x:c r="J52" s="1"/>
      <x:c r="K52" s="1"/>
      <x:c r="L52" s="1"/>
      <x:c r="M52" s="1"/>
      <x:c r="N52" s="1"/>
      <x:c r="O52" s="1"/>
      <x:c r="P52" s="1"/>
    </x:row>
    <x:row r="53" ht="16.5">
      <x:c r="A53"/>
      <x:c r="B53" s="11"/>
      <x:c r="C53" s="1"/>
      <x:c r="D53" s="19"/>
      <x:c r="E53" s="19"/>
      <x:c r="F53" s="19"/>
      <x:c r="G53" s="1"/>
      <x:c r="H53" s="1"/>
      <x:c r="I53" s="1"/>
      <x:c r="J53" s="1"/>
      <x:c r="K53" s="1"/>
      <x:c r="L53" s="1"/>
      <x:c r="M53" s="1"/>
      <x:c r="N53" s="1"/>
      <x:c r="O53" s="1"/>
      <x:c r="P53" s="1"/>
    </x:row>
    <x:row r="54" ht="16.5">
      <x:c r="A54"/>
      <x:c r="B54" s="11"/>
      <x:c r="C54" s="1"/>
      <x:c r="D54" s="19"/>
      <x:c r="E54" s="19"/>
      <x:c r="F54" s="19"/>
      <x:c r="G54" s="1"/>
      <x:c r="H54" s="1"/>
      <x:c r="I54" s="1"/>
      <x:c r="J54" s="1"/>
      <x:c r="K54" s="1"/>
      <x:c r="L54" s="1"/>
      <x:c r="M54" s="1"/>
      <x:c r="N54" s="1"/>
      <x:c r="O54" s="1"/>
      <x:c r="P54" s="1"/>
    </x:row>
    <x:row r="55" ht="16.5">
      <x:c r="A55"/>
      <x:c r="B55" s="11"/>
      <x:c r="C55" s="1"/>
      <x:c r="D55" s="19"/>
      <x:c r="E55" s="19"/>
      <x:c r="F55" s="19"/>
      <x:c r="G55" s="1"/>
      <x:c r="H55" s="1"/>
      <x:c r="I55" s="1"/>
      <x:c r="J55" s="1"/>
      <x:c r="K55" s="1"/>
      <x:c r="L55" s="1"/>
      <x:c r="M55" s="1"/>
      <x:c r="N55" s="1"/>
      <x:c r="O55" s="1"/>
      <x:c r="P55" s="1"/>
    </x:row>
    <x:row r="56" ht="16.5">
      <x:c r="A56"/>
      <x:c r="B56" s="11"/>
      <x:c r="C56" s="1"/>
      <x:c r="D56" s="19"/>
      <x:c r="E56" s="19"/>
      <x:c r="F56" s="19"/>
      <x:c r="G56" s="1"/>
      <x:c r="H56" s="1"/>
      <x:c r="I56" s="1"/>
      <x:c r="J56" s="1"/>
      <x:c r="K56" s="1"/>
      <x:c r="L56" s="1"/>
      <x:c r="M56" s="1"/>
      <x:c r="N56" s="1"/>
      <x:c r="O56" s="1"/>
      <x:c r="P56" s="1"/>
    </x:row>
    <x:row r="57" ht="16.5">
      <x:c r="A57"/>
      <x:c r="B57" s="11"/>
      <x:c r="C57" s="1"/>
      <x:c r="D57" s="19"/>
      <x:c r="E57" s="19"/>
      <x:c r="F57" s="19"/>
      <x:c r="G57" s="1"/>
      <x:c r="H57" s="1"/>
      <x:c r="I57" s="1"/>
      <x:c r="J57" s="1"/>
      <x:c r="K57" s="1"/>
      <x:c r="L57" s="1"/>
      <x:c r="M57" s="1"/>
      <x:c r="N57" s="1"/>
      <x:c r="O57" s="1"/>
      <x:c r="P57" s="1"/>
    </x:row>
    <x:row r="58" ht="16.5">
      <x:c r="A58"/>
      <x:c r="B58" s="11"/>
      <x:c r="C58" s="1"/>
      <x:c r="D58" s="19"/>
      <x:c r="E58" s="19"/>
      <x:c r="F58" s="19"/>
      <x:c r="G58" s="1"/>
      <x:c r="H58" s="1"/>
      <x:c r="I58" s="1"/>
      <x:c r="J58" s="1"/>
      <x:c r="K58" s="1"/>
      <x:c r="L58" s="1"/>
      <x:c r="M58" s="1"/>
      <x:c r="N58" s="1"/>
      <x:c r="O58" s="1"/>
      <x:c r="P58" s="1"/>
    </x:row>
    <x:row r="59" ht="16.5">
      <x:c r="A59"/>
      <x:c r="B59" s="11"/>
      <x:c r="C59" s="1"/>
      <x:c r="D59" s="19"/>
      <x:c r="E59" s="19"/>
      <x:c r="F59" s="19"/>
      <x:c r="G59" s="1"/>
      <x:c r="H59" s="1"/>
      <x:c r="I59" s="1"/>
      <x:c r="J59" s="1"/>
      <x:c r="K59" s="1"/>
      <x:c r="L59" s="1"/>
      <x:c r="M59" s="1"/>
      <x:c r="N59" s="1"/>
      <x:c r="O59" s="1"/>
      <x:c r="P59" s="1"/>
    </x:row>
    <x:row r="60" ht="16.5">
      <x:c r="A60"/>
      <x:c r="B60" s="11"/>
      <x:c r="C60" s="1"/>
      <x:c r="D60" s="19"/>
      <x:c r="E60" s="19"/>
      <x:c r="F60" s="19"/>
      <x:c r="G60" s="1"/>
      <x:c r="H60" s="1"/>
      <x:c r="I60" s="1"/>
      <x:c r="J60" s="1"/>
      <x:c r="K60" s="1"/>
      <x:c r="L60" s="1"/>
      <x:c r="M60" s="1"/>
      <x:c r="N60" s="1"/>
      <x:c r="O60" s="1"/>
      <x:c r="P60" s="1"/>
    </x:row>
    <x:row r="61" ht="16.5">
      <x:c r="A61"/>
      <x:c r="B61" s="11"/>
      <x:c r="C61" s="1"/>
      <x:c r="D61" s="19"/>
      <x:c r="E61" s="19"/>
      <x:c r="F61" s="19"/>
      <x:c r="G61" s="1"/>
      <x:c r="H61" s="1"/>
      <x:c r="I61" s="1"/>
      <x:c r="J61" s="1"/>
      <x:c r="K61" s="1"/>
      <x:c r="L61" s="1"/>
      <x:c r="M61" s="1"/>
      <x:c r="N61" s="1"/>
      <x:c r="O61" s="1"/>
      <x:c r="P61" s="1"/>
    </x:row>
    <x:row r="62" ht="16.5">
      <x:c r="A62"/>
      <x:c r="B62" s="11"/>
      <x:c r="C62" s="1"/>
      <x:c r="D62" s="19"/>
      <x:c r="E62" s="19"/>
      <x:c r="F62" s="19"/>
      <x:c r="G62" s="1"/>
      <x:c r="H62" s="1"/>
      <x:c r="I62" s="1"/>
      <x:c r="J62" s="1"/>
      <x:c r="K62" s="1"/>
      <x:c r="L62" s="1"/>
      <x:c r="M62" s="1"/>
      <x:c r="N62" s="1"/>
      <x:c r="O62" s="1"/>
      <x:c r="P62" s="1"/>
    </x:row>
    <x:row r="63" ht="16.5">
      <x:c r="A63"/>
      <x:c r="B63" s="11"/>
      <x:c r="C63" s="1"/>
      <x:c r="D63" s="19"/>
      <x:c r="E63" s="19"/>
      <x:c r="F63" s="19"/>
      <x:c r="G63" s="1"/>
      <x:c r="H63" s="1"/>
      <x:c r="I63" s="1"/>
      <x:c r="J63" s="1"/>
      <x:c r="K63" s="1"/>
      <x:c r="L63" s="1"/>
      <x:c r="M63" s="1"/>
      <x:c r="N63" s="1"/>
      <x:c r="O63" s="1"/>
      <x:c r="P63" s="1"/>
    </x:row>
    <x:row r="64" ht="16.5">
      <x:c r="A64"/>
      <x:c r="B64" s="11"/>
      <x:c r="C64" s="1"/>
      <x:c r="D64" s="19"/>
      <x:c r="E64" s="19"/>
      <x:c r="F64" s="19"/>
      <x:c r="G64" s="1"/>
      <x:c r="H64" s="1"/>
      <x:c r="I64" s="1"/>
      <x:c r="J64" s="1"/>
      <x:c r="K64" s="1"/>
      <x:c r="L64" s="1"/>
      <x:c r="M64" s="1"/>
      <x:c r="N64" s="1"/>
      <x:c r="O64" s="1"/>
      <x:c r="P64" s="1"/>
    </x:row>
    <x:row r="65" ht="16.5">
      <x:c r="A65"/>
      <x:c r="B65" s="11"/>
      <x:c r="C65" s="1"/>
      <x:c r="D65" s="19"/>
      <x:c r="E65" s="19"/>
      <x:c r="F65" s="19"/>
      <x:c r="G65" s="1"/>
      <x:c r="H65" s="1"/>
      <x:c r="I65" s="1"/>
      <x:c r="J65" s="1"/>
      <x:c r="K65" s="1"/>
      <x:c r="L65" s="1"/>
      <x:c r="M65" s="1"/>
      <x:c r="N65" s="1"/>
      <x:c r="O65" s="1"/>
      <x:c r="P65" s="1"/>
    </x:row>
    <x:row r="66" ht="16.5">
      <x:c r="A66"/>
      <x:c r="B66" s="11"/>
      <x:c r="C66" s="1"/>
      <x:c r="D66" s="19"/>
      <x:c r="E66" s="19"/>
      <x:c r="F66" s="19"/>
      <x:c r="G66" s="1"/>
      <x:c r="H66" s="1"/>
      <x:c r="I66" s="1"/>
      <x:c r="J66" s="1"/>
      <x:c r="K66" s="1"/>
      <x:c r="L66" s="1"/>
      <x:c r="M66" s="1"/>
      <x:c r="N66" s="1"/>
      <x:c r="O66" s="1"/>
      <x:c r="P66" s="1"/>
    </x:row>
    <x:row r="67" ht="16.5">
      <x:c r="A67"/>
      <x:c r="B67" s="11"/>
      <x:c r="C67" s="1"/>
      <x:c r="D67" s="19"/>
      <x:c r="E67" s="19"/>
      <x:c r="F67" s="19"/>
      <x:c r="G67" s="1"/>
      <x:c r="H67" s="1"/>
      <x:c r="I67" s="1"/>
      <x:c r="J67" s="1"/>
      <x:c r="K67" s="1"/>
      <x:c r="L67" s="1"/>
      <x:c r="M67" s="1"/>
      <x:c r="N67" s="1"/>
      <x:c r="O67" s="1"/>
      <x:c r="P67" s="1"/>
    </x:row>
    <x:row r="68" ht="16.5">
      <x:c r="A68"/>
      <x:c r="B68" s="11"/>
      <x:c r="C68" s="1"/>
      <x:c r="D68" s="19"/>
      <x:c r="E68" s="19"/>
      <x:c r="F68" s="19"/>
      <x:c r="G68" s="1"/>
      <x:c r="H68" s="1"/>
      <x:c r="I68" s="1"/>
      <x:c r="J68" s="1"/>
      <x:c r="K68" s="1"/>
      <x:c r="L68" s="1"/>
      <x:c r="M68" s="1"/>
      <x:c r="N68" s="1"/>
      <x:c r="O68" s="1"/>
      <x:c r="P68" s="1"/>
    </x:row>
    <x:row r="69" ht="16.5">
      <x:c r="A69"/>
      <x:c r="B69" s="11"/>
      <x:c r="C69" s="1"/>
      <x:c r="D69" s="19"/>
      <x:c r="E69" s="19"/>
      <x:c r="F69" s="19"/>
      <x:c r="G69" s="1"/>
      <x:c r="H69" s="1"/>
      <x:c r="I69" s="1"/>
      <x:c r="J69" s="1"/>
      <x:c r="K69" s="1"/>
      <x:c r="L69" s="1"/>
      <x:c r="M69" s="1"/>
      <x:c r="N69" s="1"/>
      <x:c r="O69" s="1"/>
      <x:c r="P69" s="1"/>
    </x:row>
    <x:row r="70" ht="16.5">
      <x:c r="A70"/>
      <x:c r="B70" s="11"/>
      <x:c r="C70" s="1"/>
      <x:c r="D70" s="19"/>
      <x:c r="E70" s="19"/>
      <x:c r="F70" s="19"/>
      <x:c r="G70" s="1"/>
      <x:c r="H70" s="1"/>
      <x:c r="I70" s="1"/>
      <x:c r="J70" s="1"/>
      <x:c r="K70" s="1"/>
      <x:c r="L70" s="1"/>
      <x:c r="M70" s="1"/>
      <x:c r="N70" s="1"/>
      <x:c r="O70" s="1"/>
      <x:c r="P70" s="1"/>
    </x:row>
    <x:row r="71" ht="16.5">
      <x:c r="A71"/>
      <x:c r="B71" s="11"/>
      <x:c r="C71" s="1"/>
      <x:c r="D71" s="19"/>
      <x:c r="E71" s="19"/>
      <x:c r="F71" s="19"/>
      <x:c r="G71" s="1"/>
      <x:c r="H71" s="1"/>
      <x:c r="I71" s="1"/>
      <x:c r="J71" s="1"/>
      <x:c r="K71" s="1"/>
      <x:c r="L71" s="1"/>
      <x:c r="M71" s="1"/>
      <x:c r="N71" s="1"/>
      <x:c r="O71" s="1"/>
      <x:c r="P71" s="1"/>
    </x:row>
    <x:row r="72" ht="16.5">
      <x:c r="A72"/>
      <x:c r="B72" s="11"/>
      <x:c r="C72" s="1"/>
      <x:c r="D72" s="19"/>
      <x:c r="E72" s="19"/>
      <x:c r="F72" s="19"/>
      <x:c r="G72" s="1"/>
      <x:c r="H72" s="1"/>
      <x:c r="I72" s="1"/>
      <x:c r="J72" s="1"/>
      <x:c r="K72" s="1"/>
      <x:c r="L72" s="1"/>
      <x:c r="M72" s="1"/>
      <x:c r="N72" s="1"/>
      <x:c r="O72" s="1"/>
      <x:c r="P72" s="1"/>
    </x:row>
    <x:row r="73" ht="16.5">
      <x:c r="A73"/>
      <x:c r="B73" s="11"/>
      <x:c r="C73" s="1"/>
      <x:c r="D73" s="19"/>
      <x:c r="E73" s="19"/>
      <x:c r="F73" s="19"/>
      <x:c r="G73" s="1"/>
      <x:c r="H73" s="1"/>
      <x:c r="I73" s="1"/>
      <x:c r="J73" s="1"/>
      <x:c r="K73" s="1"/>
      <x:c r="L73" s="1"/>
      <x:c r="M73" s="1"/>
      <x:c r="N73" s="1"/>
      <x:c r="O73" s="1"/>
      <x:c r="P73" s="1"/>
    </x:row>
    <x:row r="74" ht="16.5">
      <x:c r="A74"/>
      <x:c r="B74" s="11"/>
      <x:c r="C74" s="1"/>
      <x:c r="D74" s="19"/>
      <x:c r="E74" s="19"/>
      <x:c r="F74" s="19"/>
      <x:c r="G74" s="1"/>
      <x:c r="H74" s="1"/>
      <x:c r="I74" s="1"/>
      <x:c r="J74" s="1"/>
      <x:c r="K74" s="1"/>
      <x:c r="L74" s="1"/>
      <x:c r="M74" s="1"/>
      <x:c r="N74" s="1"/>
      <x:c r="O74" s="1"/>
      <x:c r="P74" s="1"/>
    </x:row>
    <x:row r="75" ht="16.5">
      <x:c r="A75"/>
      <x:c r="B75" s="11"/>
      <x:c r="C75" s="1"/>
      <x:c r="D75" s="19"/>
      <x:c r="E75" s="19"/>
      <x:c r="F75" s="19"/>
      <x:c r="G75" s="1"/>
      <x:c r="H75" s="1"/>
      <x:c r="I75" s="1"/>
      <x:c r="J75" s="1"/>
      <x:c r="K75" s="1"/>
      <x:c r="L75" s="1"/>
      <x:c r="M75" s="1"/>
      <x:c r="N75" s="1"/>
      <x:c r="O75" s="1"/>
      <x:c r="P75" s="1"/>
    </x:row>
    <x:row r="76" ht="16.5">
      <x:c r="A76"/>
      <x:c r="B76" s="11"/>
      <x:c r="C76" s="1"/>
      <x:c r="D76" s="19"/>
      <x:c r="E76" s="19"/>
      <x:c r="F76" s="19"/>
      <x:c r="G76" s="1"/>
      <x:c r="H76" s="1"/>
      <x:c r="I76" s="1"/>
      <x:c r="J76" s="1"/>
      <x:c r="K76" s="1"/>
      <x:c r="L76" s="1"/>
      <x:c r="M76" s="1"/>
      <x:c r="N76" s="1"/>
      <x:c r="O76" s="1"/>
      <x:c r="P76" s="1"/>
    </x:row>
  </x:sheetData>
  <x:mergeCells>
    <x:mergeCell ref="H5:J5"/>
  </x:mergeCells>
  <x:pageMargins left="0.7" right="0.7" top="0.75" bottom="0.75" header="0.3" footer="0.3"/>
  <x:drawing xmlns:r="http://schemas.openxmlformats.org/officeDocument/2006/relationships" r:id="R0e24161b36fc4e91"/>
</x:worksheet>
</file>

<file path=xl/worksheets/sheet5.xml><?xml version="1.0" encoding="utf-8"?>
<x:worksheet xmlns:x="http://schemas.openxmlformats.org/spreadsheetml/2006/main">
  <x:sheetPr>
    <x:tabColor rgb="FF92D050"/>
  </x:sheetPr>
  <x:sheetFormatPr defaultRowHeight="15"/>
  <x:cols>
    <x:col min="1" max="1" width="16.42578125" customWidth="1"/>
    <x:col min="2" max="2" width="15.140625" customWidth="1"/>
  </x:cols>
  <x:sheetData>
    <x:row r="1" ht="54.75" customHeight="1">
      <x:c r="A1" s="147" t="s">
        <x:v>34</x:v>
      </x:c>
      <x:c r="B1" s="147"/>
      <x:c r="C1" s="147"/>
      <x:c r="D1" s="147"/>
      <x:c r="E1" s="147"/>
      <x:c r="F1" s="147"/>
      <x:c r="G1" s="147"/>
      <x:c r="H1" s="147"/>
      <x:c r="I1" s="147"/>
      <x:c r="J1" s="147"/>
      <x:c r="K1" s="147"/>
      <x:c r="L1" s="147"/>
      <x:c r="M1" s="147"/>
      <x:c r="N1" s="147"/>
      <x:c r="O1" s="147"/>
      <x:c r="P1" s="147"/>
      <x:c r="Q1" s="147"/>
      <x:c r="R1" s="147"/>
      <x:c r="S1" s="147"/>
      <x:c r="T1" s="147"/>
    </x:row>
    <x:row r="2" ht="42" customHeight="1"/>
    <x:row r="3" ht="22.5" customHeight="1">
      <x:c r="A3" s="144" t="s">
        <x:v>35</x:v>
      </x:c>
      <x:c r="B3" s="145"/>
      <x:c r="C3" s="146"/>
    </x:row>
    <x:row r="4" ht="17.25">
      <x:c r="A4" s="44"/>
      <x:c r="B4" s="45"/>
      <x:c r="C4" s="46"/>
    </x:row>
    <x:row r="5" ht="17.25">
      <x:c r="A5" s="71" t="s">
        <x:v>36</x:v>
      </x:c>
      <x:c r="B5" s="72" t="str">
        <x:f>IF('SHOP MARCH 2026'!B40="","",'SHOP MARCH 2026'!B40)</x:f>
      </x:c>
      <x:c r="C5" s="47" t="str">
        <x:f>IFERROR(B5/B7,"")</x:f>
      </x:c>
    </x:row>
    <x:row r="6" ht="18">
      <x:c r="A6" s="73" t="s">
        <x:v>37</x:v>
      </x:c>
      <x:c r="B6" s="74" t="str">
        <x:f>IF('THIRD PARTY MARCH 2026'!B39="","",'THIRD PARTY MARCH 2026'!B39)</x:f>
      </x:c>
      <x:c r="C6" s="47" t="str">
        <x:f>IFERROR(B6/B7,"")</x:f>
      </x:c>
    </x:row>
    <x:row r="7" ht="16.5">
      <x:c r="A7" s="43"/>
      <x:c r="B7" s="42" t="str">
        <x:f>IF(SUM(B5:B6)=0,"",SUM(B5:B6))</x:f>
      </x:c>
      <x:c r="C7" s="48" t="str">
        <x:f>IF(SUM(C5:C6)=0,"",SUM(C5:C6))</x:f>
      </x:c>
    </x:row>
  </x:sheetData>
  <x:mergeCells>
    <x:mergeCell ref="A3:C3"/>
    <x:mergeCell ref="A1:T1"/>
  </x:mergeCells>
  <x:pageMargins left="0.7" right="0.7" top="0.75" bottom="0.75" header="0.3" footer="0.3"/>
  <x:drawing xmlns:r="http://schemas.openxmlformats.org/officeDocument/2006/relationships" r:id="R69618f078e9a456f"/>
</x:worksheet>
</file>

<file path=xl/worksheets/sheet6.xml><?xml version="1.0" encoding="utf-8"?>
<x:worksheet xmlns:x="http://schemas.openxmlformats.org/spreadsheetml/2006/main">
  <x:sheetPr>
    <x:tabColor rgb="FFFFFF00"/>
  </x:sheetPr>
  <x:sheetFormatPr defaultRowHeight="15"/>
  <x:cols>
    <x:col min="1" max="1" width="23.28515625" style="14" customWidth="1"/>
    <x:col min="2" max="2" width="15.5703125" style="6" customWidth="1"/>
    <x:col min="3" max="3" width="19" customWidth="1"/>
    <x:col min="4" max="4" width="13.85546875" style="20" customWidth="1"/>
    <x:col min="5" max="5" width="20.5703125" style="20" customWidth="1"/>
    <x:col min="6" max="6" width="13.85546875" style="8" customWidth="1"/>
    <x:col min="7" max="7" width="13.85546875" style="9" customWidth="1"/>
    <x:col min="9" max="9" width="17" customWidth="1"/>
    <x:col min="10" max="10" width="13.140625" customWidth="1"/>
    <x:col min="11" max="11" width="9.140625" customWidth="1"/>
  </x:cols>
  <x:sheetData>
    <x:row r="2" ht="18">
      <x:c r="A2" s="16" t="str">
        <x:v>DAILY SALES (6B)  - APRIL 2026</x:v>
      </x:c>
      <x:c r="B2" s="16"/>
      <x:c r="C2" s="16"/>
      <x:c r="D2" s="18"/>
      <x:c r="E2" s="18"/>
      <x:c r="F2" s="16"/>
      <x:c r="G2" s="18"/>
      <x:c r="H2" s="16"/>
      <x:c r="I2" s="16"/>
      <x:c r="J2" s="16"/>
      <x:c r="K2" s="16"/>
      <x:c r="L2" s="16"/>
      <x:c r="M2" s="16"/>
      <x:c r="N2" s="16"/>
      <x:c r="O2" s="16"/>
      <x:c r="P2" s="16"/>
    </x:row>
    <x:row r="3" ht="18">
      <x:c r="B3" s="24"/>
      <x:c r="C3" s="24"/>
      <x:c r="D3" s="18"/>
      <x:c r="E3" s="18"/>
      <x:c r="F3" s="24"/>
      <x:c r="G3" s="24"/>
      <x:c r="H3" s="24"/>
      <x:c r="I3" s="24"/>
      <x:c r="J3" s="24"/>
      <x:c r="K3" s="24"/>
      <x:c r="L3" s="24"/>
      <x:c r="M3" s="24"/>
      <x:c r="N3" s="24"/>
      <x:c r="O3" s="24"/>
      <x:c r="P3" s="24"/>
    </x:row>
    <x:row r="4" ht="16.5">
      <x:c r="B4" s="11"/>
      <x:c r="C4" s="1"/>
      <x:c r="D4" s="19"/>
      <x:c r="E4" s="19"/>
      <x:c r="F4" s="12"/>
      <x:c r="G4" s="13"/>
      <x:c r="H4" s="1"/>
      <x:c r="I4" s="1"/>
      <x:c r="J4" s="1"/>
      <x:c r="K4" s="1"/>
      <x:c r="L4" s="1"/>
      <x:c r="M4" s="1"/>
      <x:c r="N4" s="1"/>
      <x:c r="O4" s="1"/>
      <x:c r="P4" s="1"/>
    </x:row>
    <x:row r="5" ht="16.5">
      <x:c r="A5" s="21" t="s">
        <x:v>21</x:v>
      </x:c>
      <x:c r="B5" s="22" t="s">
        <x:v>22</x:v>
      </x:c>
      <x:c r="C5" s="106" t="s">
        <x:v>23</x:v>
      </x:c>
      <x:c r="D5" s="139" t="s">
        <x:v>24</x:v>
      </x:c>
      <x:c r="E5" s="140"/>
      <x:c r="F5" s="139" t="s">
        <x:v>25</x:v>
      </x:c>
      <x:c r="G5" s="141"/>
      <x:c r="H5" s="2"/>
      <x:c r="I5" s="135" t="s">
        <x:v>26</x:v>
      </x:c>
      <x:c r="J5" s="135"/>
      <x:c r="K5" s="135"/>
      <x:c r="L5" s="1"/>
      <x:c r="M5" s="1"/>
      <x:c r="N5" s="1"/>
      <x:c r="O5" s="1"/>
      <x:c r="P5" s="1"/>
    </x:row>
    <x:row r="6" ht="16.5">
      <x:c r="A6" s="21"/>
      <x:c r="B6" s="22"/>
      <x:c r="C6" s="23"/>
      <x:c r="D6" s="26" t="s">
        <x:v>27</x:v>
      </x:c>
      <x:c r="E6" s="26" t="s">
        <x:v>28</x:v>
      </x:c>
      <x:c r="F6" s="26" t="s">
        <x:v>29</x:v>
      </x:c>
      <x:c r="G6" s="26" t="s">
        <x:v>30</x:v>
      </x:c>
      <x:c r="H6" s="2"/>
      <x:c r="I6" s="17"/>
      <x:c r="J6" s="17"/>
      <x:c r="K6" s="17"/>
      <x:c r="L6" s="1"/>
      <x:c r="M6" s="1"/>
      <x:c r="N6" s="1"/>
      <x:c r="O6" s="1"/>
      <x:c r="P6" s="1"/>
    </x:row>
    <x:row r="7" ht="16.5">
      <x:c r="A7" s="15"/>
      <x:c r="B7" s="7"/>
      <x:c r="C7" s="5"/>
      <x:c r="D7" s="17"/>
      <x:c r="E7" s="17"/>
      <x:c r="F7" s="17"/>
      <x:c r="G7" s="17"/>
      <x:c r="H7" s="2"/>
      <x:c r="I7" s="17"/>
      <x:c r="J7" s="17"/>
      <x:c r="K7" s="17"/>
      <x:c r="L7" s="1"/>
      <x:c r="M7" s="1"/>
      <x:c r="N7" s="1"/>
      <x:c r="O7" s="1"/>
      <x:c r="P7" s="1"/>
    </x:row>
    <x:row r="8" ht="16.5">
      <x:c r="A8" s="171" t="n">
        <x:v>46113</x:v>
      </x:c>
      <x:c r="B8" s="52" t="str">
        <x:f t="shared" ref="B8:B37" si="0">IF(SUM(C8:G8)=0,"",SUM(C8:G8))</x:f>
      </x:c>
      <x:c r="C8" s="53"/>
      <x:c r="D8" s="54"/>
      <x:c r="E8" s="54"/>
      <x:c r="F8" s="53" t="str">
        <x:f>IF('RETAIL &amp; PRINT'!E11="","",'RETAIL &amp; PRINT'!E11)</x:f>
      </x:c>
      <x:c r="G8" s="53" t="str">
        <x:f>IF(F8="","",F8*10%)</x:f>
      </x:c>
      <x:c r="H8" s="1"/>
      <x:c r="I8" s="3" t="str">
        <x:f>C5</x:f>
        <x:v>Footwear</x:v>
      </x:c>
      <x:c r="J8" s="10" t="str">
        <x:f>IF(C39="","",C39)</x:f>
      </x:c>
      <x:c r="K8" s="4" t="str">
        <x:f>IFERROR(C39/B40,"")</x:f>
      </x:c>
      <x:c r="L8" s="1"/>
      <x:c r="M8" s="1"/>
      <x:c r="N8" s="1"/>
      <x:c r="O8" s="1"/>
      <x:c r="P8" s="1"/>
    </x:row>
    <x:row r="9" ht="16.5">
      <x:c r="A9" s="171" t="n">
        <x:v>46114</x:v>
      </x:c>
      <x:c r="B9" s="52" t="str">
        <x:f t="shared" si="0">IF(SUM(C9:G9)=0,"",SUM(C9:G9))</x:f>
      </x:c>
      <x:c r="C9" s="53"/>
      <x:c r="D9" s="54"/>
      <x:c r="E9" s="54"/>
      <x:c r="F9" s="53" t="str">
        <x:f>IF('RETAIL &amp; PRINT'!E12="","",'RETAIL &amp; PRINT'!E12)</x:f>
      </x:c>
      <x:c r="G9" s="53" t="str">
        <x:f t="shared" ref="G9:G37" si="1">IF(F9="","",F9*10%)</x:f>
      </x:c>
      <x:c r="H9" s="1"/>
      <x:c r="I9" s="3" t="str">
        <x:f>D5</x:f>
        <x:v>Deep Cleaning</x:v>
      </x:c>
      <x:c r="J9" s="10" t="str">
        <x:f>IF(D40="","",D40)</x:f>
      </x:c>
      <x:c r="K9" s="4" t="str">
        <x:f>IFERROR(D40/$B$40,"")</x:f>
      </x:c>
      <x:c r="L9" s="1"/>
      <x:c r="M9" s="1"/>
      <x:c r="N9" s="1"/>
      <x:c r="O9" s="1"/>
      <x:c r="P9" s="1"/>
    </x:row>
    <x:row r="10" ht="16.5">
      <x:c r="A10" s="171" t="n">
        <x:v>46115</x:v>
      </x:c>
      <x:c r="B10" s="52" t="str">
        <x:f t="shared" si="0">IF(SUM(C10:G10)=0,"",SUM(C10:G10))</x:f>
      </x:c>
      <x:c r="C10" s="53"/>
      <x:c r="D10" s="54"/>
      <x:c r="E10" s="54"/>
      <x:c r="F10" s="53" t="str">
        <x:f>IF('RETAIL &amp; PRINT'!E13="","",'RETAIL &amp; PRINT'!E13)</x:f>
      </x:c>
      <x:c r="G10" s="53" t="str">
        <x:f t="shared" si="1">IF(F10="","",F10*10%)</x:f>
      </x:c>
      <x:c r="H10" s="1"/>
      <x:c r="I10" s="3" t="str">
        <x:f>F5</x:f>
        <x:v>Print &amp; Retail</x:v>
      </x:c>
      <x:c r="J10" s="10" t="str">
        <x:f>IF(F40="","",F40)</x:f>
      </x:c>
      <x:c r="K10" s="4" t="str">
        <x:f>IFERROR(SUM(F39:G39)/B40,"")</x:f>
      </x:c>
      <x:c r="L10" s="1"/>
      <x:c r="M10" s="1"/>
      <x:c r="N10" s="1"/>
      <x:c r="O10" s="1"/>
      <x:c r="P10" s="1"/>
    </x:row>
    <x:row r="11" ht="16.5">
      <x:c r="A11" s="170" t="n">
        <x:v>46116</x:v>
      </x:c>
      <x:c r="B11" s="52" t="str">
        <x:f t="shared" si="0">IF(SUM(C11:G11)=0,"",SUM(C11:G11))</x:f>
      </x:c>
      <x:c r="C11" s="99"/>
      <x:c r="D11" s="100"/>
      <x:c r="E11" s="100"/>
      <x:c r="F11" s="53" t="str">
        <x:f>IF('RETAIL &amp; PRINT'!E14="","",'RETAIL &amp; PRINT'!E14)</x:f>
      </x:c>
      <x:c r="G11" s="53" t="str">
        <x:f t="shared" si="1">IF(F11="","",F11*10%)</x:f>
      </x:c>
      <x:c r="H11" s="1"/>
      <x:c r="I11" s="3"/>
      <x:c r="J11" s="10"/>
      <x:c r="K11" s="4"/>
      <x:c r="L11" s="1"/>
      <x:c r="M11" s="1"/>
      <x:c r="N11" s="1"/>
      <x:c r="O11" s="1"/>
      <x:c r="P11" s="1"/>
    </x:row>
    <x:row r="12" ht="16.5">
      <x:c r="A12" s="170" t="n">
        <x:v>46117</x:v>
      </x:c>
      <x:c r="B12" s="52" t="str">
        <x:f t="shared" si="0">IF(SUM(C12:G12)=0,"",SUM(C12:G12))</x:f>
      </x:c>
      <x:c r="C12" s="99"/>
      <x:c r="D12" s="100"/>
      <x:c r="E12" s="100"/>
      <x:c r="F12" s="53" t="str">
        <x:f>IF('RETAIL &amp; PRINT'!E15="","",'RETAIL &amp; PRINT'!E15)</x:f>
      </x:c>
      <x:c r="G12" s="53" t="str">
        <x:f t="shared" si="1">IF(F12="","",F12*10%)</x:f>
      </x:c>
      <x:c r="H12" s="1"/>
      <x:c r="I12" s="3"/>
      <x:c r="J12" s="10" t="str">
        <x:f>IF(SUM(J8:J11)=0,"",SUM(J8:J11))</x:f>
      </x:c>
      <x:c r="K12" s="4" t="str">
        <x:f>IF(SUM(K8:K11)=0,"",SUM(K8:K11))</x:f>
      </x:c>
      <x:c r="L12" s="1"/>
      <x:c r="M12" s="1"/>
      <x:c r="N12" s="1"/>
      <x:c r="O12" s="1"/>
      <x:c r="P12" s="1"/>
    </x:row>
    <x:row r="13" ht="16.5">
      <x:c r="A13" s="170" t="n">
        <x:v>46118</x:v>
      </x:c>
      <x:c r="B13" s="52" t="str">
        <x:f t="shared" si="0">IF(SUM(C13:G13)=0,"",SUM(C13:G13))</x:f>
      </x:c>
      <x:c r="C13" s="99"/>
      <x:c r="D13" s="100"/>
      <x:c r="E13" s="100"/>
      <x:c r="F13" s="53" t="str">
        <x:f>IF('RETAIL &amp; PRINT'!E16="","",'RETAIL &amp; PRINT'!E16)</x:f>
      </x:c>
      <x:c r="G13" s="53" t="str">
        <x:f t="shared" si="1">IF(F13="","",F13*10%)</x:f>
      </x:c>
      <x:c r="H13" s="1"/>
      <x:c r="I13" s="1"/>
      <x:c r="J13" s="1"/>
      <x:c r="K13" s="1"/>
      <x:c r="L13" s="1"/>
      <x:c r="M13" s="1"/>
      <x:c r="N13" s="1"/>
      <x:c r="O13" s="1"/>
      <x:c r="P13" s="1"/>
    </x:row>
    <x:row r="14" ht="16.5">
      <x:c r="A14" s="170" t="n">
        <x:v>46119</x:v>
      </x:c>
      <x:c r="B14" s="52" t="str">
        <x:f t="shared" si="0">IF(SUM(C14:G14)=0,"",SUM(C14:G14))</x:f>
      </x:c>
      <x:c r="C14" s="99"/>
      <x:c r="D14" s="100"/>
      <x:c r="E14" s="100"/>
      <x:c r="F14" s="53" t="str">
        <x:f>IF('RETAIL &amp; PRINT'!E17="","",'RETAIL &amp; PRINT'!E17)</x:f>
      </x:c>
      <x:c r="G14" s="53" t="str">
        <x:f t="shared" si="1">IF(F14="","",F14*10%)</x:f>
      </x:c>
      <x:c r="H14" s="1"/>
      <x:c r="I14" s="1"/>
      <x:c r="J14" s="27"/>
      <x:c r="K14" s="28"/>
      <x:c r="L14" s="1"/>
      <x:c r="M14" s="1"/>
      <x:c r="N14" s="1"/>
      <x:c r="O14" s="1"/>
      <x:c r="P14" s="1"/>
    </x:row>
    <x:row r="15" ht="16.5">
      <x:c r="A15" s="170" t="n">
        <x:v>46120</x:v>
      </x:c>
      <x:c r="B15" s="52" t="str">
        <x:f t="shared" si="0">IF(SUM(C15:G15)=0,"",SUM(C15:G15))</x:f>
      </x:c>
      <x:c r="C15" s="99"/>
      <x:c r="D15" s="100"/>
      <x:c r="E15" s="100"/>
      <x:c r="F15" s="53" t="str">
        <x:f>IF('RETAIL &amp; PRINT'!E18="","",'RETAIL &amp; PRINT'!E18)</x:f>
      </x:c>
      <x:c r="G15" s="53" t="str">
        <x:f t="shared" si="1">IF(F15="","",F15*10%)</x:f>
      </x:c>
      <x:c r="H15" s="1"/>
      <x:c r="I15" s="1"/>
      <x:c r="J15" s="1"/>
      <x:c r="K15" s="1"/>
      <x:c r="L15" s="1"/>
      <x:c r="M15" s="1"/>
      <x:c r="N15" s="1"/>
      <x:c r="O15" s="1"/>
      <x:c r="P15" s="1"/>
    </x:row>
    <x:row r="16" ht="16.5">
      <x:c r="A16" s="170" t="n">
        <x:v>46121</x:v>
      </x:c>
      <x:c r="B16" s="52" t="str">
        <x:f t="shared" si="0">IF(SUM(C16:G16)=0,"",SUM(C16:G16))</x:f>
      </x:c>
      <x:c r="C16" s="99"/>
      <x:c r="D16" s="100"/>
      <x:c r="E16" s="100"/>
      <x:c r="F16" s="53" t="str">
        <x:f>IF('RETAIL &amp; PRINT'!E19="","",'RETAIL &amp; PRINT'!E19)</x:f>
      </x:c>
      <x:c r="G16" s="53" t="str">
        <x:f t="shared" si="1">IF(F16="","",F16*10%)</x:f>
      </x:c>
      <x:c r="H16" s="1"/>
      <x:c r="I16" s="1"/>
      <x:c r="J16" s="1"/>
      <x:c r="K16" s="1"/>
      <x:c r="L16" s="1"/>
      <x:c r="M16" s="1"/>
      <x:c r="N16" s="1"/>
      <x:c r="O16" s="1"/>
      <x:c r="P16" s="1"/>
    </x:row>
    <x:row r="17" ht="16.5">
      <x:c r="A17" s="170" t="n">
        <x:v>46122</x:v>
      </x:c>
      <x:c r="B17" s="52" t="str">
        <x:f t="shared" si="0">IF(SUM(C17:G17)=0,"",SUM(C17:G17))</x:f>
      </x:c>
      <x:c r="C17" s="99"/>
      <x:c r="D17" s="100"/>
      <x:c r="E17" s="100"/>
      <x:c r="F17" s="53" t="str">
        <x:f>IF('RETAIL &amp; PRINT'!E20="","",'RETAIL &amp; PRINT'!E20)</x:f>
      </x:c>
      <x:c r="G17" s="53" t="str">
        <x:f t="shared" si="1">IF(F17="","",F17*10%)</x:f>
      </x:c>
      <x:c r="H17" s="1"/>
      <x:c r="I17" s="1"/>
      <x:c r="J17" s="1"/>
      <x:c r="K17" s="1"/>
      <x:c r="L17" s="1"/>
      <x:c r="M17" s="1"/>
      <x:c r="N17" s="1"/>
      <x:c r="O17" s="1"/>
      <x:c r="P17" s="1"/>
    </x:row>
    <x:row r="18" ht="16.5">
      <x:c r="A18" s="170" t="n">
        <x:v>46123</x:v>
      </x:c>
      <x:c r="B18" s="52" t="str">
        <x:f t="shared" si="0">IF(SUM(C18:G18)=0,"",SUM(C18:G18))</x:f>
      </x:c>
      <x:c r="C18" s="99"/>
      <x:c r="D18" s="100"/>
      <x:c r="E18" s="100"/>
      <x:c r="F18" s="53" t="str">
        <x:f>IF('RETAIL &amp; PRINT'!E21="","",'RETAIL &amp; PRINT'!E21)</x:f>
      </x:c>
      <x:c r="G18" s="53" t="str">
        <x:f t="shared" si="1">IF(F18="","",F18*10%)</x:f>
      </x:c>
      <x:c r="H18" s="1"/>
      <x:c r="I18" s="1"/>
      <x:c r="J18" s="1"/>
      <x:c r="K18" s="1"/>
      <x:c r="L18" s="1"/>
      <x:c r="M18" s="1"/>
      <x:c r="N18" s="1"/>
      <x:c r="O18" s="1"/>
      <x:c r="P18" s="1"/>
    </x:row>
    <x:row r="19" ht="16.5">
      <x:c r="A19" s="170" t="n">
        <x:v>46124</x:v>
      </x:c>
      <x:c r="B19" s="52" t="str">
        <x:f t="shared" si="0">IF(SUM(C19:G19)=0,"",SUM(C19:G19))</x:f>
      </x:c>
      <x:c r="C19" s="99"/>
      <x:c r="D19" s="100"/>
      <x:c r="E19" s="100"/>
      <x:c r="F19" s="53" t="str">
        <x:f>IF('RETAIL &amp; PRINT'!E22="","",'RETAIL &amp; PRINT'!E22)</x:f>
      </x:c>
      <x:c r="G19" s="53" t="str">
        <x:f t="shared" si="1">IF(F19="","",F19*10%)</x:f>
      </x:c>
      <x:c r="H19" s="1"/>
      <x:c r="I19" s="1"/>
      <x:c r="J19" s="1"/>
      <x:c r="K19" s="1"/>
      <x:c r="L19" s="1"/>
      <x:c r="M19" s="1"/>
      <x:c r="N19" s="1"/>
      <x:c r="O19" s="1"/>
      <x:c r="P19" s="1"/>
    </x:row>
    <x:row r="20" ht="16.5">
      <x:c r="A20" s="170" t="n">
        <x:v>46125</x:v>
      </x:c>
      <x:c r="B20" s="52" t="str">
        <x:f t="shared" si="0">IF(SUM(C20:G20)=0,"",SUM(C20:G20))</x:f>
      </x:c>
      <x:c r="C20" s="99"/>
      <x:c r="D20" s="100"/>
      <x:c r="E20" s="100"/>
      <x:c r="F20" s="53" t="str">
        <x:f>IF('RETAIL &amp; PRINT'!E23="","",'RETAIL &amp; PRINT'!E23)</x:f>
      </x:c>
      <x:c r="G20" s="53" t="str">
        <x:f t="shared" si="1">IF(F20="","",F20*10%)</x:f>
      </x:c>
      <x:c r="H20" s="1"/>
      <x:c r="I20" s="1"/>
      <x:c r="J20" s="1"/>
      <x:c r="K20" s="1"/>
      <x:c r="L20" s="1"/>
      <x:c r="M20" s="1"/>
      <x:c r="N20" s="1"/>
      <x:c r="O20" s="1"/>
      <x:c r="P20" s="1"/>
    </x:row>
    <x:row r="21" ht="16.5">
      <x:c r="A21" s="170" t="n">
        <x:v>46126</x:v>
      </x:c>
      <x:c r="B21" s="52" t="str">
        <x:f t="shared" si="0">IF(SUM(C21:G21)=0,"",SUM(C21:G21))</x:f>
      </x:c>
      <x:c r="C21" s="99"/>
      <x:c r="D21" s="100"/>
      <x:c r="E21" s="100"/>
      <x:c r="F21" s="53" t="str">
        <x:f>IF('RETAIL &amp; PRINT'!E24="","",'RETAIL &amp; PRINT'!E24)</x:f>
      </x:c>
      <x:c r="G21" s="53" t="str">
        <x:f t="shared" si="1">IF(F21="","",F21*10%)</x:f>
      </x:c>
      <x:c r="H21" s="1"/>
      <x:c r="I21" s="1"/>
      <x:c r="J21" s="1"/>
      <x:c r="K21" s="1"/>
      <x:c r="L21" s="1"/>
      <x:c r="M21" s="1"/>
      <x:c r="N21" s="1"/>
      <x:c r="O21" s="1"/>
      <x:c r="P21" s="1"/>
    </x:row>
    <x:row r="22" ht="16.5">
      <x:c r="A22" s="170" t="n">
        <x:v>46127</x:v>
      </x:c>
      <x:c r="B22" s="52" t="str">
        <x:f t="shared" si="0">IF(SUM(C22:G22)=0,"",SUM(C22:G22))</x:f>
      </x:c>
      <x:c r="C22" s="99"/>
      <x:c r="D22" s="100"/>
      <x:c r="E22" s="100"/>
      <x:c r="F22" s="53" t="str">
        <x:f>IF('RETAIL &amp; PRINT'!E25="","",'RETAIL &amp; PRINT'!E25)</x:f>
      </x:c>
      <x:c r="G22" s="53" t="str">
        <x:f t="shared" si="1">IF(F22="","",F22*10%)</x:f>
      </x:c>
      <x:c r="H22" s="1"/>
      <x:c r="I22" s="1"/>
      <x:c r="J22" s="1"/>
      <x:c r="K22" s="1"/>
      <x:c r="L22" s="1"/>
      <x:c r="M22" s="1"/>
      <x:c r="N22" s="1"/>
      <x:c r="O22" s="1"/>
      <x:c r="P22" s="1"/>
    </x:row>
    <x:row r="23" ht="16.5">
      <x:c r="A23" s="170" t="n">
        <x:v>46128</x:v>
      </x:c>
      <x:c r="B23" s="52" t="str">
        <x:f t="shared" si="0">IF(SUM(C23:G23)=0,"",SUM(C23:G23))</x:f>
      </x:c>
      <x:c r="C23" s="99"/>
      <x:c r="D23" s="100"/>
      <x:c r="E23" s="100"/>
      <x:c r="F23" s="53" t="str">
        <x:f>IF('RETAIL &amp; PRINT'!E26="","",'RETAIL &amp; PRINT'!E26)</x:f>
      </x:c>
      <x:c r="G23" s="53" t="str">
        <x:f t="shared" si="1">IF(F23="","",F23*10%)</x:f>
      </x:c>
      <x:c r="H23" s="1"/>
      <x:c r="I23" s="1"/>
      <x:c r="J23" s="1"/>
      <x:c r="K23" s="1"/>
      <x:c r="L23" s="1"/>
      <x:c r="M23" s="1"/>
      <x:c r="N23" s="1"/>
      <x:c r="O23" s="1"/>
      <x:c r="P23" s="1"/>
    </x:row>
    <x:row r="24" ht="16.5">
      <x:c r="A24" s="170" t="n">
        <x:v>46129</x:v>
      </x:c>
      <x:c r="B24" s="52" t="str">
        <x:f t="shared" si="0">IF(SUM(C24:G24)=0,"",SUM(C24:G24))</x:f>
      </x:c>
      <x:c r="C24" s="99"/>
      <x:c r="D24" s="100"/>
      <x:c r="E24" s="100"/>
      <x:c r="F24" s="53" t="str">
        <x:f>IF('RETAIL &amp; PRINT'!E27="","",'RETAIL &amp; PRINT'!E27)</x:f>
      </x:c>
      <x:c r="G24" s="53" t="str">
        <x:f t="shared" si="1">IF(F24="","",F24*10%)</x:f>
      </x:c>
      <x:c r="H24" s="1"/>
      <x:c r="I24" s="1"/>
      <x:c r="J24" s="1"/>
      <x:c r="K24" s="1"/>
      <x:c r="L24" s="1"/>
      <x:c r="M24" s="1"/>
      <x:c r="N24" s="1"/>
      <x:c r="O24" s="1"/>
      <x:c r="P24" s="1"/>
    </x:row>
    <x:row r="25" ht="16.5">
      <x:c r="A25" s="170" t="n">
        <x:v>46130</x:v>
      </x:c>
      <x:c r="B25" s="52" t="str">
        <x:f t="shared" si="0">IF(SUM(C25:G25)=0,"",SUM(C25:G25))</x:f>
      </x:c>
      <x:c r="C25" s="99"/>
      <x:c r="D25" s="100"/>
      <x:c r="E25" s="100"/>
      <x:c r="F25" s="53" t="str">
        <x:f>IF('RETAIL &amp; PRINT'!E28="","",'RETAIL &amp; PRINT'!E28)</x:f>
      </x:c>
      <x:c r="G25" s="53" t="str">
        <x:f t="shared" si="1">IF(F25="","",F25*10%)</x:f>
      </x:c>
      <x:c r="H25" s="1"/>
      <x:c r="I25" s="34"/>
      <x:c r="J25" s="34"/>
      <x:c r="K25" s="34"/>
      <x:c r="L25" s="1"/>
      <x:c r="M25" s="1"/>
      <x:c r="N25" s="1"/>
      <x:c r="O25" s="1"/>
      <x:c r="P25" s="1"/>
    </x:row>
    <x:row r="26" ht="16.5">
      <x:c r="A26" s="170" t="n">
        <x:v>46131</x:v>
      </x:c>
      <x:c r="B26" s="52" t="str">
        <x:f t="shared" si="0">IF(SUM(C26:G26)=0,"",SUM(C26:G26))</x:f>
      </x:c>
      <x:c r="C26" s="99"/>
      <x:c r="D26" s="100"/>
      <x:c r="E26" s="100"/>
      <x:c r="F26" s="53" t="str">
        <x:f>IF('RETAIL &amp; PRINT'!E29="","",'RETAIL &amp; PRINT'!E29)</x:f>
      </x:c>
      <x:c r="G26" s="53" t="str">
        <x:f t="shared" si="1">IF(F26="","",F26*10%)</x:f>
      </x:c>
      <x:c r="H26" s="1"/>
      <x:c r="I26" s="33"/>
      <x:c r="J26" s="33"/>
      <x:c r="K26" s="33"/>
      <x:c r="L26" s="1"/>
      <x:c r="M26" s="1"/>
      <x:c r="N26" s="1"/>
      <x:c r="O26" s="1"/>
      <x:c r="P26" s="1"/>
    </x:row>
    <x:row r="27" ht="16.5">
      <x:c r="A27" s="170" t="n">
        <x:v>46132</x:v>
      </x:c>
      <x:c r="B27" s="52" t="str">
        <x:f t="shared" si="0">IF(SUM(C27:G27)=0,"",SUM(C27:G27))</x:f>
      </x:c>
      <x:c r="C27" s="99"/>
      <x:c r="D27" s="100"/>
      <x:c r="E27" s="100"/>
      <x:c r="F27" s="53" t="str">
        <x:f>IF('RETAIL &amp; PRINT'!E30="","",'RETAIL &amp; PRINT'!E30)</x:f>
      </x:c>
      <x:c r="G27" s="53" t="str">
        <x:f t="shared" si="1">IF(F27="","",F27*10%)</x:f>
      </x:c>
      <x:c r="H27" s="1"/>
      <x:c r="I27" s="34"/>
      <x:c r="J27" s="35"/>
      <x:c r="K27" s="36"/>
      <x:c r="L27" s="1"/>
      <x:c r="M27" s="1"/>
      <x:c r="N27" s="1"/>
      <x:c r="O27" s="1"/>
      <x:c r="P27" s="1"/>
    </x:row>
    <x:row r="28" ht="16.5">
      <x:c r="A28" s="170" t="n">
        <x:v>46133</x:v>
      </x:c>
      <x:c r="B28" s="52" t="str">
        <x:f t="shared" si="0">IF(SUM(C28:G28)=0,"",SUM(C28:G28))</x:f>
      </x:c>
      <x:c r="C28" s="99"/>
      <x:c r="D28" s="100"/>
      <x:c r="E28" s="100"/>
      <x:c r="F28" s="53" t="str">
        <x:f>IF('RETAIL &amp; PRINT'!E31="","",'RETAIL &amp; PRINT'!E31)</x:f>
      </x:c>
      <x:c r="G28" s="53" t="str">
        <x:f t="shared" si="1">IF(F28="","",F28*10%)</x:f>
      </x:c>
      <x:c r="H28" s="1"/>
      <x:c r="I28" s="34"/>
      <x:c r="J28" s="37"/>
      <x:c r="K28" s="36"/>
      <x:c r="L28" s="1"/>
      <x:c r="M28" s="1"/>
      <x:c r="N28" s="1"/>
      <x:c r="O28" s="1"/>
      <x:c r="P28" s="1"/>
    </x:row>
    <x:row r="29" ht="16.5">
      <x:c r="A29" s="170" t="n">
        <x:v>46134</x:v>
      </x:c>
      <x:c r="B29" s="52" t="str">
        <x:f t="shared" si="0">IF(SUM(C29:G29)=0,"",SUM(C29:G29))</x:f>
      </x:c>
      <x:c r="C29" s="99"/>
      <x:c r="D29" s="100"/>
      <x:c r="E29" s="100"/>
      <x:c r="F29" s="53" t="str">
        <x:f>IF('RETAIL &amp; PRINT'!E32="","",'RETAIL &amp; PRINT'!E32)</x:f>
      </x:c>
      <x:c r="G29" s="53" t="str">
        <x:f t="shared" si="1">IF(F29="","",F29*10%)</x:f>
      </x:c>
      <x:c r="H29" s="1"/>
      <x:c r="I29" s="1"/>
      <x:c r="J29" s="29"/>
      <x:c r="K29" s="30"/>
      <x:c r="L29" s="1"/>
      <x:c r="M29" s="1"/>
      <x:c r="N29" s="1"/>
      <x:c r="O29" s="1"/>
      <x:c r="P29" s="1"/>
    </x:row>
    <x:row r="30" ht="16.5">
      <x:c r="A30" s="170" t="n">
        <x:v>46135</x:v>
      </x:c>
      <x:c r="B30" s="52" t="str">
        <x:f t="shared" si="0">IF(SUM(C30:G30)=0,"",SUM(C30:G30))</x:f>
      </x:c>
      <x:c r="C30" s="99"/>
      <x:c r="D30" s="100"/>
      <x:c r="E30" s="100"/>
      <x:c r="F30" s="53" t="str">
        <x:f>IF('RETAIL &amp; PRINT'!E33="","",'RETAIL &amp; PRINT'!E33)</x:f>
      </x:c>
      <x:c r="G30" s="53" t="str">
        <x:f t="shared" si="1">IF(F30="","",F30*10%)</x:f>
      </x:c>
      <x:c r="H30" s="1"/>
      <x:c r="I30" s="1"/>
      <x:c r="J30" s="31"/>
      <x:c r="K30" s="30"/>
      <x:c r="L30" s="1"/>
      <x:c r="M30" s="1"/>
      <x:c r="N30" s="1"/>
      <x:c r="O30" s="1"/>
      <x:c r="P30" s="1"/>
    </x:row>
    <x:row r="31" ht="16.5">
      <x:c r="A31" s="170" t="n">
        <x:v>46136</x:v>
      </x:c>
      <x:c r="B31" s="52" t="str">
        <x:f t="shared" si="0">IF(SUM(C31:G31)=0,"",SUM(C31:G31))</x:f>
      </x:c>
      <x:c r="C31" s="99"/>
      <x:c r="D31" s="100"/>
      <x:c r="F31" s="53" t="str">
        <x:f>IF('RETAIL &amp; PRINT'!E34="","",'RETAIL &amp; PRINT'!E34)</x:f>
      </x:c>
      <x:c r="G31" s="53" t="str">
        <x:f t="shared" si="1">IF(F31="","",F31*10%)</x:f>
      </x:c>
      <x:c r="I31" s="1"/>
      <x:c r="J31" s="29"/>
      <x:c r="K31" s="30"/>
      <x:c r="L31" s="1"/>
      <x:c r="M31" s="1"/>
      <x:c r="N31" s="1"/>
      <x:c r="O31" s="1"/>
      <x:c r="P31" s="1"/>
    </x:row>
    <x:row r="32" ht="16.5">
      <x:c r="A32" s="170" t="n">
        <x:v>46137</x:v>
      </x:c>
      <x:c r="B32" s="52" t="str">
        <x:f t="shared" si="0">IF(SUM(C32:G32)=0,"",SUM(C32:G32))</x:f>
      </x:c>
      <x:c r="C32" s="101"/>
      <x:c r="D32" s="102"/>
      <x:c r="E32" s="100"/>
      <x:c r="F32" s="53" t="str">
        <x:f>IF('RETAIL &amp; PRINT'!E35="","",'RETAIL &amp; PRINT'!E35)</x:f>
      </x:c>
      <x:c r="G32" s="53" t="str">
        <x:f t="shared" si="1">IF(F32="","",F32*10%)</x:f>
      </x:c>
      <x:c r="H32" s="1"/>
      <x:c r="I32" s="1"/>
      <x:c r="J32" s="31"/>
      <x:c r="K32" s="30"/>
      <x:c r="L32" s="1"/>
      <x:c r="M32" s="1"/>
      <x:c r="N32" s="1"/>
      <x:c r="O32" s="1"/>
      <x:c r="P32" s="1"/>
    </x:row>
    <x:row r="33" ht="16.5">
      <x:c r="A33" s="170" t="n">
        <x:v>46138</x:v>
      </x:c>
      <x:c r="B33" s="52" t="str">
        <x:f t="shared" si="0">IF(SUM(C33:G33)=0,"",SUM(C33:G33))</x:f>
      </x:c>
      <x:c r="C33" s="99"/>
      <x:c r="D33" s="100"/>
      <x:c r="E33" s="100"/>
      <x:c r="F33" s="53" t="str">
        <x:f>IF('RETAIL &amp; PRINT'!E36="","",'RETAIL &amp; PRINT'!E36)</x:f>
      </x:c>
      <x:c r="G33" s="53" t="str">
        <x:f t="shared" si="1">IF(F33="","",F33*10%)</x:f>
      </x:c>
      <x:c r="H33" s="1"/>
      <x:c r="I33" s="1"/>
      <x:c r="J33" s="32"/>
      <x:c r="K33" s="30"/>
      <x:c r="L33" s="1"/>
      <x:c r="M33" s="1"/>
      <x:c r="N33" s="1"/>
      <x:c r="O33" s="1"/>
      <x:c r="P33" s="1"/>
    </x:row>
    <x:row r="34" ht="16.5">
      <x:c r="A34" s="170" t="n">
        <x:v>46139</x:v>
      </x:c>
      <x:c r="B34" s="52" t="str">
        <x:f t="shared" si="0">IF(SUM(C34:G34)=0,"",SUM(C34:G34))</x:f>
      </x:c>
      <x:c r="C34" s="99"/>
      <x:c r="D34" s="100"/>
      <x:c r="E34" s="100"/>
      <x:c r="F34" s="53" t="str">
        <x:f>IF('RETAIL &amp; PRINT'!E37="","",'RETAIL &amp; PRINT'!E37)</x:f>
      </x:c>
      <x:c r="G34" s="53" t="str">
        <x:f t="shared" si="1">IF(F34="","",F34*10%)</x:f>
      </x:c>
      <x:c r="H34" s="1"/>
      <x:c r="I34" s="1"/>
      <x:c r="J34" s="1"/>
      <x:c r="K34" s="1"/>
      <x:c r="L34" s="1"/>
      <x:c r="M34" s="1"/>
      <x:c r="N34" s="1"/>
      <x:c r="O34" s="1"/>
      <x:c r="P34" s="1"/>
    </x:row>
    <x:row r="35" ht="16.5">
      <x:c r="A35" s="170" t="n">
        <x:v>46140</x:v>
      </x:c>
      <x:c r="B35" s="52" t="str">
        <x:f t="shared" si="0">IF(SUM(C35:G35)=0,"",SUM(C35:G35))</x:f>
      </x:c>
      <x:c r="C35" s="99"/>
      <x:c r="D35" s="100"/>
      <x:c r="E35" s="100"/>
      <x:c r="F35" s="53" t="str">
        <x:f>IF('RETAIL &amp; PRINT'!E38="","",'RETAIL &amp; PRINT'!E38)</x:f>
      </x:c>
      <x:c r="G35" s="53" t="str">
        <x:f t="shared" si="1">IF(F35="","",F35*10%)</x:f>
      </x:c>
      <x:c r="H35" s="1"/>
      <x:c r="I35" s="1"/>
      <x:c r="J35" s="1"/>
      <x:c r="K35" s="1"/>
      <x:c r="L35" s="1"/>
      <x:c r="M35" s="1"/>
      <x:c r="N35" s="1"/>
      <x:c r="O35" s="1"/>
      <x:c r="P35" s="1"/>
    </x:row>
    <x:row r="36" ht="16.5">
      <x:c r="A36" s="171" t="n">
        <x:v>46141</x:v>
      </x:c>
      <x:c r="B36" s="52" t="str">
        <x:f t="shared" si="0">IF(SUM(C36:G36)=0,"",SUM(C36:G36))</x:f>
      </x:c>
      <x:c r="C36" s="53"/>
      <x:c r="D36" s="54"/>
      <x:c r="E36" s="54"/>
      <x:c r="F36" s="53" t="str">
        <x:f>IF('RETAIL &amp; PRINT'!E39="","",'RETAIL &amp; PRINT'!E39)</x:f>
      </x:c>
      <x:c r="G36" s="53" t="str">
        <x:f t="shared" si="1">IF(F36="","",F36*10%)</x:f>
      </x:c>
      <x:c r="H36" s="1"/>
      <x:c r="I36" s="1"/>
      <x:c r="J36" s="1"/>
      <x:c r="K36" s="1"/>
      <x:c r="L36" s="1"/>
      <x:c r="M36" s="1"/>
      <x:c r="N36" s="1"/>
      <x:c r="O36" s="1"/>
      <x:c r="P36" s="1"/>
    </x:row>
    <x:row r="37" ht="16.5">
      <x:c r="A37" s="171" t="n">
        <x:v>46142</x:v>
      </x:c>
      <x:c r="B37" s="52" t="str">
        <x:f t="shared" si="0">IF(SUM(C37:G37)=0,"",SUM(C37:G37))</x:f>
      </x:c>
      <x:c r="C37" s="53"/>
      <x:c r="D37" s="54"/>
      <x:c r="E37" s="54"/>
      <x:c r="F37" s="53" t="str">
        <x:f>IF('RETAIL &amp; PRINT'!E40="","",'RETAIL &amp; PRINT'!E40)</x:f>
      </x:c>
      <x:c r="G37" s="53" t="str">
        <x:f t="shared" si="1">IF(F37="","",F37*10%)</x:f>
      </x:c>
      <x:c r="H37" s="1"/>
      <x:c r="I37" s="1"/>
      <x:c r="J37" s="1"/>
      <x:c r="K37" s="1"/>
      <x:c r="L37" s="1"/>
      <x:c r="M37" s="1"/>
      <x:c r="N37" s="1"/>
      <x:c r="O37" s="1"/>
      <x:c r="P37" s="1"/>
    </x:row>
    <x:row r="38" ht="16.5">
      <x:c r="A38" s="171"/>
      <x:c r="B38" s="52" t="str">
        <x:f>IF(SUM(C38:G38)=0,"",SUM(C38:G38))</x:f>
      </x:c>
      <x:c r="C38" s="53"/>
      <x:c r="D38" s="54"/>
      <x:c r="E38" s="54"/>
      <x:c r="F38" s="53" t="str">
        <x:f>IF('RETAIL &amp; PRINT'!E41="","",'RETAIL &amp; PRINT'!E41)</x:f>
      </x:c>
      <x:c r="G38" s="53" t="str">
        <x:f>IF(F38="","",F38*10%)</x:f>
      </x:c>
      <x:c r="H38" s="1"/>
      <x:c r="I38" s="1"/>
      <x:c r="J38" s="1"/>
      <x:c r="K38" s="1"/>
      <x:c r="L38" s="1"/>
      <x:c r="M38" s="1"/>
      <x:c r="N38" s="1"/>
      <x:c r="O38" s="1"/>
      <x:c r="P38" s="1"/>
    </x:row>
    <x:row r="39" ht="16.5">
      <x:c r="A39" s="51"/>
      <x:c r="B39" s="75" t="str">
        <x:f>IF(SUM(B8:B38)=0,"",SUM(B8:B38))</x:f>
      </x:c>
      <x:c r="C39" s="75" t="str">
        <x:f t="shared" ref="C39:G39" si="2">IF(SUM(C8:C38)=0,"",SUM(C8:C38))</x:f>
      </x:c>
      <x:c r="D39" s="75" t="str">
        <x:f t="shared" si="2">IF(SUM(D8:D38)=0,"",SUM(D8:D38))</x:f>
      </x:c>
      <x:c r="E39" s="75" t="str">
        <x:f>IF(SUM(E8:E38)=0,"",SUM(E8:E38))</x:f>
      </x:c>
      <x:c r="F39" s="75" t="str">
        <x:f t="shared" si="2">IF(SUM(F8:F38)=0,"",SUM(F8:F38))</x:f>
      </x:c>
      <x:c r="G39" s="75" t="str">
        <x:f t="shared" si="2">IF(SUM(G8:G38)=0,"",SUM(G8:G38))</x:f>
      </x:c>
      <x:c r="H39" s="1"/>
      <x:c r="I39" s="1"/>
      <x:c r="J39" s="1"/>
      <x:c r="K39" s="1"/>
      <x:c r="L39" s="1"/>
      <x:c r="M39" s="1"/>
      <x:c r="N39" s="1"/>
      <x:c r="O39" s="1"/>
      <x:c r="P39" s="1"/>
    </x:row>
    <x:row r="40" ht="16.5">
      <x:c r="A40" s="51"/>
      <x:c r="B40" s="66" t="str">
        <x:f>IF(B39="","",B39)</x:f>
      </x:c>
      <x:c r="C40" s="67" t="str">
        <x:f>IF(C39="","",C39)</x:f>
      </x:c>
      <x:c r="D40" s="107" t="str">
        <x:f>IF(SUM(D39:E39)=0,"",SUM(D39:E39))</x:f>
      </x:c>
      <x:c r="E40" s="108"/>
      <x:c r="F40" s="142" t="str">
        <x:f>IF(SUM(F39:G39)=0,"",SUM(F39:G39))</x:f>
      </x:c>
      <x:c r="G40" s="143"/>
      <x:c r="H40" s="1"/>
      <x:c r="I40" s="1"/>
      <x:c r="J40" s="1"/>
      <x:c r="K40" s="1"/>
      <x:c r="L40" s="1"/>
      <x:c r="M40" s="1"/>
      <x:c r="N40" s="1"/>
      <x:c r="O40" s="1"/>
      <x:c r="P40" s="1"/>
    </x:row>
    <x:row r="41" ht="16.5">
      <x:c r="B41" s="11"/>
      <x:c r="C41" s="1"/>
      <x:c r="D41" s="19"/>
      <x:c r="E41" s="19"/>
      <x:c r="F41" s="12"/>
      <x:c r="G41" s="13"/>
      <x:c r="H41" s="1"/>
      <x:c r="I41" s="1"/>
      <x:c r="J41" s="1"/>
      <x:c r="K41" s="1"/>
      <x:c r="L41" s="1"/>
      <x:c r="M41" s="1"/>
      <x:c r="N41" s="1"/>
      <x:c r="O41" s="1"/>
      <x:c r="P41" s="1"/>
    </x:row>
    <x:row r="42" ht="16.5">
      <x:c r="B42" s="11"/>
      <x:c r="C42" s="1"/>
      <x:c r="D42" s="19"/>
      <x:c r="E42" s="19"/>
      <x:c r="F42" s="12"/>
      <x:c r="G42" s="25"/>
      <x:c r="H42" s="1"/>
      <x:c r="I42" s="1"/>
      <x:c r="J42" s="1"/>
      <x:c r="K42" s="1"/>
      <x:c r="L42" s="1"/>
      <x:c r="M42" s="1"/>
      <x:c r="N42" s="1"/>
      <x:c r="O42" s="1"/>
      <x:c r="P42" s="1"/>
    </x:row>
    <x:row r="43" ht="16.5">
      <x:c r="B43" s="11"/>
      <x:c r="C43" s="27"/>
      <x:c r="D43" s="19"/>
      <x:c r="E43" s="19"/>
      <x:c r="F43" s="12"/>
      <x:c r="G43" s="13"/>
      <x:c r="H43" s="1"/>
      <x:c r="I43" s="1"/>
      <x:c r="J43" s="1"/>
      <x:c r="K43" s="1"/>
      <x:c r="L43" s="1"/>
      <x:c r="M43" s="1"/>
      <x:c r="N43" s="1"/>
      <x:c r="O43" s="1"/>
      <x:c r="P43" s="1"/>
    </x:row>
    <x:row r="44" ht="16.5">
      <x:c r="B44" s="11"/>
      <x:c r="C44" s="27"/>
      <x:c r="D44" s="19"/>
      <x:c r="E44" s="19"/>
      <x:c r="F44" s="12"/>
      <x:c r="G44" s="13"/>
      <x:c r="H44" s="1"/>
      <x:c r="I44" s="1"/>
      <x:c r="J44" s="1"/>
      <x:c r="K44" s="1"/>
      <x:c r="L44" s="1"/>
      <x:c r="M44" s="1"/>
      <x:c r="N44" s="1"/>
      <x:c r="O44" s="1"/>
      <x:c r="P44" s="1"/>
    </x:row>
    <x:row r="45" ht="16.5">
      <x:c r="B45" s="11"/>
      <x:c r="C45" s="27"/>
      <x:c r="D45" s="19"/>
      <x:c r="E45" s="19"/>
      <x:c r="F45" s="12"/>
      <x:c r="G45" s="13"/>
      <x:c r="H45" s="1"/>
      <x:c r="I45" s="1"/>
      <x:c r="J45" s="1"/>
      <x:c r="K45" s="1"/>
      <x:c r="L45" s="1"/>
      <x:c r="M45" s="1"/>
      <x:c r="N45" s="1"/>
      <x:c r="O45" s="1"/>
      <x:c r="P45" s="1"/>
    </x:row>
    <x:row r="46" ht="16.5">
      <x:c r="B46" s="11"/>
      <x:c r="C46" s="1"/>
      <x:c r="D46" s="19"/>
      <x:c r="E46" s="19"/>
      <x:c r="F46" s="12"/>
      <x:c r="G46" s="13"/>
      <x:c r="H46" s="1"/>
      <x:c r="I46" s="1"/>
      <x:c r="J46" s="1"/>
      <x:c r="K46" s="1"/>
      <x:c r="L46" s="1"/>
      <x:c r="M46" s="1"/>
      <x:c r="N46" s="1"/>
      <x:c r="O46" s="1"/>
      <x:c r="P46" s="1"/>
    </x:row>
    <x:row r="47" ht="16.5">
      <x:c r="B47" s="11"/>
      <x:c r="C47" s="1"/>
      <x:c r="D47" s="19"/>
      <x:c r="E47" s="19"/>
      <x:c r="F47" s="12"/>
      <x:c r="G47" s="13"/>
      <x:c r="H47" s="1"/>
      <x:c r="I47" s="1"/>
      <x:c r="J47" s="1"/>
      <x:c r="K47" s="1"/>
      <x:c r="L47" s="1"/>
      <x:c r="M47" s="1"/>
      <x:c r="N47" s="1"/>
      <x:c r="O47" s="1"/>
      <x:c r="P47" s="1"/>
    </x:row>
    <x:row r="48" ht="16.5">
      <x:c r="B48" s="11"/>
      <x:c r="C48" s="1"/>
      <x:c r="D48" s="19"/>
      <x:c r="E48" s="19"/>
      <x:c r="F48" s="12"/>
      <x:c r="G48" s="13"/>
      <x:c r="H48" s="1"/>
      <x:c r="I48" s="1"/>
      <x:c r="J48" s="1"/>
      <x:c r="K48" s="1"/>
      <x:c r="L48" s="1"/>
      <x:c r="M48" s="1"/>
      <x:c r="N48" s="1"/>
      <x:c r="O48" s="1"/>
      <x:c r="P48" s="1"/>
    </x:row>
    <x:row r="49" ht="16.5">
      <x:c r="B49" s="11"/>
      <x:c r="C49" s="1"/>
      <x:c r="D49" s="19"/>
      <x:c r="E49" s="19"/>
      <x:c r="F49" s="12"/>
      <x:c r="G49" s="13"/>
      <x:c r="H49" s="1"/>
      <x:c r="I49" s="1"/>
      <x:c r="J49" s="1"/>
      <x:c r="K49" s="1"/>
      <x:c r="L49" s="1"/>
      <x:c r="M49" s="1"/>
      <x:c r="N49" s="1"/>
      <x:c r="O49" s="1"/>
      <x:c r="P49" s="1"/>
    </x:row>
    <x:row r="50" ht="16.5">
      <x:c r="A50"/>
      <x:c r="B50" s="11"/>
      <x:c r="C50" s="1"/>
      <x:c r="D50" s="19"/>
      <x:c r="E50" s="19"/>
      <x:c r="F50" s="12"/>
      <x:c r="G50" s="13"/>
      <x:c r="H50" s="1"/>
      <x:c r="I50" s="1"/>
      <x:c r="J50" s="1"/>
      <x:c r="K50" s="1"/>
      <x:c r="L50" s="1"/>
      <x:c r="M50" s="1"/>
      <x:c r="N50" s="1"/>
      <x:c r="O50" s="1"/>
      <x:c r="P50" s="1"/>
    </x:row>
    <x:row r="51" ht="16.5">
      <x:c r="A51"/>
      <x:c r="B51" s="11"/>
      <x:c r="C51" s="1"/>
      <x:c r="D51" s="19"/>
      <x:c r="E51" s="19"/>
      <x:c r="F51" s="12"/>
      <x:c r="G51" s="13"/>
      <x:c r="H51" s="1"/>
      <x:c r="I51" s="1"/>
      <x:c r="J51" s="1"/>
      <x:c r="K51" s="1"/>
      <x:c r="L51" s="1"/>
      <x:c r="M51" s="1"/>
      <x:c r="N51" s="1"/>
      <x:c r="O51" s="1"/>
      <x:c r="P51" s="1"/>
    </x:row>
    <x:row r="52" ht="16.5">
      <x:c r="A52"/>
      <x:c r="B52" s="11"/>
      <x:c r="C52" s="1"/>
      <x:c r="D52" s="19"/>
      <x:c r="E52" s="19"/>
      <x:c r="F52" s="12"/>
      <x:c r="G52" s="13"/>
      <x:c r="H52" s="1"/>
      <x:c r="I52" s="1"/>
      <x:c r="J52" s="1"/>
      <x:c r="K52" s="1"/>
      <x:c r="L52" s="1"/>
      <x:c r="M52" s="1"/>
      <x:c r="N52" s="1"/>
      <x:c r="O52" s="1"/>
      <x:c r="P52" s="1"/>
    </x:row>
    <x:row r="53" ht="16.5">
      <x:c r="A53"/>
      <x:c r="B53" s="11"/>
      <x:c r="C53" s="1"/>
      <x:c r="D53" s="19"/>
      <x:c r="E53" s="19"/>
      <x:c r="F53" s="12"/>
      <x:c r="G53" s="13"/>
      <x:c r="H53" s="1"/>
      <x:c r="I53" s="1"/>
      <x:c r="J53" s="1"/>
      <x:c r="K53" s="1"/>
      <x:c r="L53" s="1"/>
      <x:c r="M53" s="1"/>
      <x:c r="N53" s="1"/>
      <x:c r="O53" s="1"/>
      <x:c r="P53" s="1"/>
    </x:row>
    <x:row r="54" ht="16.5">
      <x:c r="A54"/>
      <x:c r="B54" s="11"/>
      <x:c r="C54" s="1"/>
      <x:c r="D54" s="19"/>
      <x:c r="E54" s="19"/>
      <x:c r="F54" s="12"/>
      <x:c r="G54" s="13"/>
      <x:c r="H54" s="1"/>
      <x:c r="I54" s="1"/>
      <x:c r="J54" s="1"/>
      <x:c r="K54" s="1"/>
      <x:c r="L54" s="1"/>
      <x:c r="M54" s="1"/>
      <x:c r="N54" s="1"/>
      <x:c r="O54" s="1"/>
      <x:c r="P54" s="1"/>
    </x:row>
    <x:row r="55" ht="16.5">
      <x:c r="A55"/>
      <x:c r="B55" s="11"/>
      <x:c r="C55" s="1"/>
      <x:c r="D55" s="19"/>
      <x:c r="E55" s="19"/>
      <x:c r="F55" s="12"/>
      <x:c r="G55" s="13"/>
      <x:c r="H55" s="1"/>
      <x:c r="I55" s="1"/>
      <x:c r="J55" s="1"/>
      <x:c r="K55" s="1"/>
      <x:c r="L55" s="1"/>
      <x:c r="M55" s="1"/>
      <x:c r="N55" s="1"/>
      <x:c r="O55" s="1"/>
      <x:c r="P55" s="1"/>
    </x:row>
    <x:row r="56" ht="16.5">
      <x:c r="A56"/>
      <x:c r="B56" s="11"/>
      <x:c r="C56" s="1"/>
      <x:c r="D56" s="19"/>
      <x:c r="E56" s="19"/>
      <x:c r="F56" s="12"/>
      <x:c r="G56" s="13"/>
      <x:c r="H56" s="1"/>
      <x:c r="I56" s="1"/>
      <x:c r="J56" s="1"/>
      <x:c r="K56" s="1"/>
      <x:c r="L56" s="1"/>
      <x:c r="M56" s="1"/>
      <x:c r="N56" s="1"/>
      <x:c r="O56" s="1"/>
      <x:c r="P56" s="1"/>
    </x:row>
    <x:row r="57" ht="16.5">
      <x:c r="A57"/>
      <x:c r="B57" s="11"/>
      <x:c r="C57" s="1"/>
      <x:c r="D57" s="19"/>
      <x:c r="E57" s="19"/>
      <x:c r="F57" s="12"/>
      <x:c r="G57" s="13"/>
      <x:c r="H57" s="1"/>
      <x:c r="I57" s="1"/>
      <x:c r="J57" s="1"/>
      <x:c r="K57" s="1"/>
      <x:c r="L57" s="1"/>
      <x:c r="M57" s="1"/>
      <x:c r="N57" s="1"/>
      <x:c r="O57" s="1"/>
      <x:c r="P57" s="1"/>
    </x:row>
    <x:row r="58" ht="16.5">
      <x:c r="A58"/>
      <x:c r="B58" s="11"/>
      <x:c r="C58" s="1"/>
      <x:c r="D58" s="19"/>
      <x:c r="E58" s="19"/>
      <x:c r="F58" s="12"/>
      <x:c r="G58" s="13"/>
      <x:c r="H58" s="1"/>
      <x:c r="I58" s="1"/>
      <x:c r="J58" s="1"/>
      <x:c r="K58" s="1"/>
      <x:c r="L58" s="1"/>
      <x:c r="M58" s="1"/>
      <x:c r="N58" s="1"/>
      <x:c r="O58" s="1"/>
      <x:c r="P58" s="1"/>
    </x:row>
    <x:row r="59" ht="16.5">
      <x:c r="A59"/>
      <x:c r="B59" s="11"/>
      <x:c r="C59" s="1"/>
      <x:c r="D59" s="19"/>
      <x:c r="E59" s="19"/>
      <x:c r="F59" s="12"/>
      <x:c r="G59" s="13"/>
      <x:c r="H59" s="1"/>
      <x:c r="I59" s="1"/>
      <x:c r="J59" s="1"/>
      <x:c r="K59" s="1"/>
      <x:c r="L59" s="1"/>
      <x:c r="M59" s="1"/>
      <x:c r="N59" s="1"/>
      <x:c r="O59" s="1"/>
      <x:c r="P59" s="1"/>
    </x:row>
    <x:row r="60" ht="16.5">
      <x:c r="A60"/>
      <x:c r="B60" s="11"/>
      <x:c r="C60" s="1"/>
      <x:c r="D60" s="19"/>
      <x:c r="E60" s="19"/>
      <x:c r="F60" s="12"/>
      <x:c r="G60" s="13"/>
      <x:c r="H60" s="1"/>
      <x:c r="I60" s="1"/>
      <x:c r="J60" s="1"/>
      <x:c r="K60" s="1"/>
      <x:c r="L60" s="1"/>
      <x:c r="M60" s="1"/>
      <x:c r="N60" s="1"/>
      <x:c r="O60" s="1"/>
      <x:c r="P60" s="1"/>
    </x:row>
    <x:row r="61" ht="16.5">
      <x:c r="A61"/>
      <x:c r="B61" s="11"/>
      <x:c r="C61" s="1"/>
      <x:c r="D61" s="19"/>
      <x:c r="E61" s="19"/>
      <x:c r="F61" s="12"/>
      <x:c r="G61" s="13"/>
      <x:c r="H61" s="1"/>
      <x:c r="I61" s="1"/>
      <x:c r="J61" s="1"/>
      <x:c r="K61" s="1"/>
      <x:c r="L61" s="1"/>
      <x:c r="M61" s="1"/>
      <x:c r="N61" s="1"/>
      <x:c r="O61" s="1"/>
      <x:c r="P61" s="1"/>
    </x:row>
    <x:row r="62" ht="16.5">
      <x:c r="A62"/>
      <x:c r="B62" s="11"/>
      <x:c r="C62" s="1"/>
      <x:c r="D62" s="19"/>
      <x:c r="E62" s="19"/>
      <x:c r="F62" s="12"/>
      <x:c r="G62" s="13"/>
      <x:c r="H62" s="1"/>
      <x:c r="I62" s="1"/>
      <x:c r="J62" s="1"/>
      <x:c r="K62" s="1"/>
      <x:c r="L62" s="1"/>
      <x:c r="M62" s="1"/>
      <x:c r="N62" s="1"/>
      <x:c r="O62" s="1"/>
      <x:c r="P62" s="1"/>
    </x:row>
    <x:row r="63" ht="16.5">
      <x:c r="A63"/>
      <x:c r="B63" s="11"/>
      <x:c r="C63" s="1"/>
      <x:c r="D63" s="19"/>
      <x:c r="E63" s="19"/>
      <x:c r="F63" s="12"/>
      <x:c r="G63" s="13"/>
      <x:c r="H63" s="1"/>
      <x:c r="I63" s="1"/>
      <x:c r="J63" s="1"/>
      <x:c r="K63" s="1"/>
      <x:c r="L63" s="1"/>
      <x:c r="M63" s="1"/>
      <x:c r="N63" s="1"/>
      <x:c r="O63" s="1"/>
      <x:c r="P63" s="1"/>
    </x:row>
    <x:row r="64" ht="16.5">
      <x:c r="A64"/>
      <x:c r="B64" s="11"/>
      <x:c r="C64" s="1"/>
      <x:c r="D64" s="19"/>
      <x:c r="E64" s="19"/>
      <x:c r="F64" s="12"/>
      <x:c r="G64" s="13"/>
      <x:c r="H64" s="1"/>
      <x:c r="I64" s="1"/>
      <x:c r="J64" s="1"/>
      <x:c r="K64" s="1"/>
      <x:c r="L64" s="1"/>
      <x:c r="M64" s="1"/>
      <x:c r="N64" s="1"/>
      <x:c r="O64" s="1"/>
      <x:c r="P64" s="1"/>
    </x:row>
    <x:row r="65" ht="16.5">
      <x:c r="A65"/>
      <x:c r="B65" s="11"/>
      <x:c r="C65" s="1"/>
      <x:c r="D65" s="19"/>
      <x:c r="E65" s="19"/>
      <x:c r="F65" s="12"/>
      <x:c r="G65" s="13"/>
      <x:c r="H65" s="1"/>
      <x:c r="I65" s="1"/>
      <x:c r="J65" s="1"/>
      <x:c r="K65" s="1"/>
      <x:c r="L65" s="1"/>
      <x:c r="M65" s="1"/>
      <x:c r="N65" s="1"/>
      <x:c r="O65" s="1"/>
      <x:c r="P65" s="1"/>
    </x:row>
    <x:row r="66" ht="16.5">
      <x:c r="A66"/>
      <x:c r="B66" s="11"/>
      <x:c r="C66" s="1"/>
      <x:c r="D66" s="19"/>
      <x:c r="E66" s="19"/>
      <x:c r="F66" s="12"/>
      <x:c r="G66" s="13"/>
      <x:c r="H66" s="1"/>
      <x:c r="I66" s="1"/>
      <x:c r="J66" s="1"/>
      <x:c r="K66" s="1"/>
      <x:c r="L66" s="1"/>
      <x:c r="M66" s="1"/>
      <x:c r="N66" s="1"/>
      <x:c r="O66" s="1"/>
      <x:c r="P66" s="1"/>
    </x:row>
    <x:row r="67" ht="16.5">
      <x:c r="A67"/>
      <x:c r="B67" s="11"/>
      <x:c r="C67" s="1"/>
      <x:c r="D67" s="19"/>
      <x:c r="E67" s="19"/>
      <x:c r="F67" s="12"/>
      <x:c r="G67" s="13"/>
      <x:c r="H67" s="1"/>
      <x:c r="I67" s="1"/>
      <x:c r="J67" s="1"/>
      <x:c r="K67" s="1"/>
      <x:c r="L67" s="1"/>
      <x:c r="M67" s="1"/>
      <x:c r="N67" s="1"/>
      <x:c r="O67" s="1"/>
      <x:c r="P67" s="1"/>
    </x:row>
    <x:row r="68" ht="16.5">
      <x:c r="A68"/>
      <x:c r="B68" s="11"/>
      <x:c r="C68" s="1"/>
      <x:c r="D68" s="19"/>
      <x:c r="E68" s="19"/>
      <x:c r="F68" s="12"/>
      <x:c r="G68" s="13"/>
      <x:c r="H68" s="1"/>
      <x:c r="I68" s="1"/>
      <x:c r="J68" s="1"/>
      <x:c r="K68" s="1"/>
      <x:c r="L68" s="1"/>
      <x:c r="M68" s="1"/>
      <x:c r="N68" s="1"/>
      <x:c r="O68" s="1"/>
      <x:c r="P68" s="1"/>
    </x:row>
    <x:row r="69" ht="16.5">
      <x:c r="A69"/>
      <x:c r="B69" s="11"/>
      <x:c r="C69" s="1"/>
      <x:c r="D69" s="19"/>
      <x:c r="E69" s="19"/>
      <x:c r="F69" s="12"/>
      <x:c r="G69" s="13"/>
      <x:c r="H69" s="1"/>
      <x:c r="I69" s="1"/>
      <x:c r="J69" s="1"/>
      <x:c r="K69" s="1"/>
      <x:c r="L69" s="1"/>
      <x:c r="M69" s="1"/>
      <x:c r="N69" s="1"/>
      <x:c r="O69" s="1"/>
      <x:c r="P69" s="1"/>
    </x:row>
    <x:row r="70" ht="16.5">
      <x:c r="A70"/>
      <x:c r="B70" s="11"/>
      <x:c r="C70" s="1"/>
      <x:c r="D70" s="19"/>
      <x:c r="E70" s="19"/>
      <x:c r="F70" s="12"/>
      <x:c r="G70" s="13"/>
      <x:c r="H70" s="1"/>
      <x:c r="I70" s="1"/>
      <x:c r="J70" s="1"/>
      <x:c r="K70" s="1"/>
      <x:c r="L70" s="1"/>
      <x:c r="M70" s="1"/>
      <x:c r="N70" s="1"/>
      <x:c r="O70" s="1"/>
      <x:c r="P70" s="1"/>
    </x:row>
    <x:row r="71" ht="16.5">
      <x:c r="A71"/>
      <x:c r="B71" s="11"/>
      <x:c r="C71" s="1"/>
      <x:c r="D71" s="19"/>
      <x:c r="E71" s="19"/>
      <x:c r="F71" s="12"/>
      <x:c r="G71" s="13"/>
      <x:c r="H71" s="1"/>
      <x:c r="I71" s="1"/>
      <x:c r="J71" s="1"/>
      <x:c r="K71" s="1"/>
      <x:c r="L71" s="1"/>
      <x:c r="M71" s="1"/>
      <x:c r="N71" s="1"/>
      <x:c r="O71" s="1"/>
      <x:c r="P71" s="1"/>
    </x:row>
    <x:row r="72" ht="16.5">
      <x:c r="A72"/>
      <x:c r="B72" s="11"/>
      <x:c r="C72" s="1"/>
      <x:c r="D72" s="19"/>
      <x:c r="E72" s="19"/>
      <x:c r="F72" s="12"/>
      <x:c r="G72" s="13"/>
      <x:c r="H72" s="1"/>
      <x:c r="I72" s="1"/>
      <x:c r="J72" s="1"/>
      <x:c r="K72" s="1"/>
      <x:c r="L72" s="1"/>
      <x:c r="M72" s="1"/>
      <x:c r="N72" s="1"/>
      <x:c r="O72" s="1"/>
      <x:c r="P72" s="1"/>
    </x:row>
    <x:row r="73" ht="16.5">
      <x:c r="A73"/>
      <x:c r="B73" s="11"/>
      <x:c r="C73" s="1"/>
      <x:c r="D73" s="19"/>
      <x:c r="E73" s="19"/>
      <x:c r="F73" s="12"/>
      <x:c r="G73" s="13"/>
      <x:c r="H73" s="1"/>
      <x:c r="I73" s="1"/>
      <x:c r="J73" s="1"/>
      <x:c r="K73" s="1"/>
      <x:c r="L73" s="1"/>
      <x:c r="M73" s="1"/>
      <x:c r="N73" s="1"/>
      <x:c r="O73" s="1"/>
      <x:c r="P73" s="1"/>
    </x:row>
    <x:row r="74" ht="16.5">
      <x:c r="A74"/>
      <x:c r="B74" s="11"/>
      <x:c r="C74" s="1"/>
      <x:c r="D74" s="19"/>
      <x:c r="E74" s="19"/>
      <x:c r="F74" s="12"/>
      <x:c r="G74" s="13"/>
      <x:c r="H74" s="1"/>
      <x:c r="I74" s="1"/>
      <x:c r="J74" s="1"/>
      <x:c r="K74" s="1"/>
      <x:c r="L74" s="1"/>
      <x:c r="M74" s="1"/>
      <x:c r="N74" s="1"/>
      <x:c r="O74" s="1"/>
      <x:c r="P74" s="1"/>
    </x:row>
    <x:row r="75" ht="16.5">
      <x:c r="A75"/>
      <x:c r="B75" s="11"/>
      <x:c r="C75" s="1"/>
      <x:c r="D75" s="19"/>
      <x:c r="E75" s="19"/>
      <x:c r="F75" s="12"/>
      <x:c r="G75" s="13"/>
      <x:c r="H75" s="1"/>
      <x:c r="I75" s="1"/>
      <x:c r="J75" s="1"/>
      <x:c r="K75" s="1"/>
      <x:c r="L75" s="1"/>
      <x:c r="M75" s="1"/>
      <x:c r="N75" s="1"/>
      <x:c r="O75" s="1"/>
      <x:c r="P75" s="1"/>
    </x:row>
    <x:row r="76" ht="16.5">
      <x:c r="A76"/>
      <x:c r="B76" s="11"/>
      <x:c r="C76" s="1"/>
      <x:c r="D76" s="19"/>
      <x:c r="E76" s="19"/>
      <x:c r="F76" s="12"/>
      <x:c r="G76" s="13"/>
      <x:c r="H76" s="1"/>
      <x:c r="I76" s="1"/>
      <x:c r="J76" s="1"/>
      <x:c r="K76" s="1"/>
      <x:c r="L76" s="1"/>
      <x:c r="M76" s="1"/>
      <x:c r="N76" s="1"/>
      <x:c r="O76" s="1"/>
      <x:c r="P76" s="1"/>
    </x:row>
    <x:row r="77" ht="16.5">
      <x:c r="A77"/>
      <x:c r="B77" s="11"/>
      <x:c r="C77" s="1"/>
      <x:c r="D77" s="19"/>
      <x:c r="E77" s="19"/>
      <x:c r="F77" s="12"/>
      <x:c r="G77" s="13"/>
      <x:c r="H77" s="1"/>
      <x:c r="I77" s="1"/>
      <x:c r="J77" s="1"/>
      <x:c r="K77" s="1"/>
      <x:c r="L77" s="1"/>
      <x:c r="M77" s="1"/>
      <x:c r="N77" s="1"/>
      <x:c r="O77" s="1"/>
      <x:c r="P77" s="1"/>
    </x:row>
    <x:row r="78" ht="16.5">
      <x:c r="A78"/>
      <x:c r="B78" s="11"/>
      <x:c r="C78" s="1"/>
      <x:c r="D78" s="19"/>
      <x:c r="E78" s="19"/>
      <x:c r="F78" s="12"/>
      <x:c r="G78" s="13"/>
      <x:c r="H78" s="1"/>
      <x:c r="I78" s="1"/>
      <x:c r="J78" s="1"/>
      <x:c r="K78" s="1"/>
      <x:c r="L78" s="1"/>
      <x:c r="M78" s="1"/>
      <x:c r="N78" s="1"/>
      <x:c r="O78" s="1"/>
      <x:c r="P78" s="1"/>
    </x:row>
  </x:sheetData>
  <x:mergeCells>
    <x:mergeCell ref="D5:E5"/>
    <x:mergeCell ref="F5:G5"/>
    <x:mergeCell ref="I5:K5"/>
    <x:mergeCell ref="F40:G40"/>
  </x:mergeCells>
  <x:pageMargins left="0.7" right="0.7" top="0.75" bottom="0.75" header="0.3" footer="0.3"/>
  <x:drawing xmlns:r="http://schemas.openxmlformats.org/officeDocument/2006/relationships" r:id="Reda99aeaeaa447ec"/>
</x:worksheet>
</file>

<file path=xl/worksheets/sheet7.xml><?xml version="1.0" encoding="utf-8"?>
<x:worksheet xmlns:x="http://schemas.openxmlformats.org/spreadsheetml/2006/main">
  <x:sheetPr>
    <x:tabColor rgb="FFFFFF00"/>
  </x:sheetPr>
  <x:sheetFormatPr defaultRowHeight="15"/>
  <x:cols>
    <x:col min="1" max="1" width="13.42578125" style="14" customWidth="1"/>
    <x:col min="2" max="2" width="16.42578125" style="6" customWidth="1"/>
    <x:col min="3" max="3" width="19" customWidth="1"/>
    <x:col min="4" max="5" width="12.5703125" style="20" customWidth="1"/>
    <x:col min="6" max="6" width="14.5703125" style="20" customWidth="1"/>
    <x:col min="7" max="7" width="29.5703125" customWidth="1"/>
    <x:col min="8" max="8" width="11.42578125" customWidth="1"/>
    <x:col min="9" max="9" width="13.140625" customWidth="1"/>
  </x:cols>
  <x:sheetData>
    <x:row r="1" ht="32.25" customHeight="1"/>
    <x:row r="2" ht="18">
      <x:c r="A2" s="16" t="str">
        <x:v>DAILY SALES  - APRIL 2026 (THIRD PARD)</x:v>
      </x:c>
      <x:c r="B2" s="16"/>
      <x:c r="C2" s="16"/>
      <x:c r="D2" s="18"/>
      <x:c r="E2" s="18"/>
      <x:c r="G2" s="20"/>
      <x:c r="H2" s="16"/>
      <x:c r="I2" s="16"/>
      <x:c r="J2" s="16"/>
      <x:c r="K2" s="16"/>
      <x:c r="L2" s="16"/>
      <x:c r="M2" s="16"/>
      <x:c r="N2" s="16"/>
      <x:c r="O2" s="16"/>
      <x:c r="P2" s="16"/>
    </x:row>
    <x:row r="3" ht="18">
      <x:c r="A3" s="148" t="s">
        <x:v>34</x:v>
      </x:c>
      <x:c r="B3" s="148"/>
      <x:c r="C3" s="148"/>
      <x:c r="D3" s="148"/>
      <x:c r="E3" s="148"/>
      <x:c r="F3" s="148"/>
      <x:c r="G3" s="148"/>
      <x:c r="H3" s="148"/>
      <x:c r="I3" s="148"/>
      <x:c r="J3" s="148"/>
      <x:c r="K3" s="148"/>
      <x:c r="L3" s="148"/>
      <x:c r="M3" s="148"/>
      <x:c r="N3" s="148"/>
      <x:c r="O3" s="148"/>
      <x:c r="P3" s="24"/>
    </x:row>
    <x:row r="4" ht="16.5">
      <x:c r="B4" s="11"/>
      <x:c r="C4" s="1"/>
      <x:c r="D4" s="19"/>
      <x:c r="E4" s="19"/>
      <x:c r="F4" s="19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30">
      <x:c r="A5" s="21" t="s">
        <x:v>21</x:v>
      </x:c>
      <x:c r="B5" s="22" t="s">
        <x:v>22</x:v>
      </x:c>
      <x:c r="C5" s="106" t="s">
        <x:v>31</x:v>
      </x:c>
      <x:c r="D5" s="106" t="s">
        <x:v>32</x:v>
      </x:c>
      <x:c r="E5" s="105" t="s">
        <x:v>38</x:v>
      </x:c>
      <x:c r="F5" s="106" t="s">
        <x:v>33</x:v>
      </x:c>
      <x:c r="G5" s="2"/>
      <x:c r="H5" s="135" t="s">
        <x:v>26</x:v>
      </x:c>
      <x:c r="I5" s="135"/>
      <x:c r="J5" s="135"/>
      <x:c r="O5" s="1"/>
      <x:c r="P5" s="1"/>
    </x:row>
    <x:row r="6" ht="16.5">
      <x:c r="A6" s="21"/>
      <x:c r="B6" s="22"/>
      <x:c r="C6" s="23"/>
      <x:c r="D6" s="69"/>
      <x:c r="E6" s="69"/>
      <x:c r="F6" s="69"/>
      <x:c r="G6" s="2"/>
      <x:c r="H6" s="17"/>
      <x:c r="I6" s="17"/>
      <x:c r="J6" s="17"/>
      <x:c r="O6" s="1"/>
      <x:c r="P6" s="1"/>
    </x:row>
    <x:row r="7" ht="16.5">
      <x:c r="A7" s="15"/>
      <x:c r="B7" s="7"/>
      <x:c r="C7" s="5"/>
      <x:c r="D7" s="70"/>
      <x:c r="E7" s="70"/>
      <x:c r="F7" s="70"/>
      <x:c r="G7" s="2"/>
      <x:c r="H7" s="3" t="str">
        <x:f>C5</x:f>
        <x:v>Kitwe</x:v>
      </x:c>
      <x:c r="I7" s="10" t="str">
        <x:f>IF(C39="","",C39)</x:f>
      </x:c>
      <x:c r="J7" s="4" t="str">
        <x:f>IFERROR($C$39/$B$39,"")</x:f>
      </x:c>
      <x:c r="O7" s="1"/>
      <x:c r="P7" s="1"/>
    </x:row>
    <x:row r="8" ht="16.5">
      <x:c r="A8" s="171" t="n">
        <x:v>46113</x:v>
      </x:c>
      <x:c r="B8" s="52" t="str">
        <x:f t="shared" ref="B8:B37" si="0">IF(SUM(C8:F8)=0,"",SUM(C8:F8))</x:f>
      </x:c>
      <x:c r="C8" s="53"/>
      <x:c r="D8" s="54"/>
      <x:c r="E8" s="54"/>
      <x:c r="F8" s="54"/>
      <x:c r="G8" s="1"/>
      <x:c r="H8" s="3" t="str">
        <x:f>D5</x:f>
        <x:v>Eldo</x:v>
      </x:c>
      <x:c r="I8" s="10" t="str">
        <x:f>IF(D39="","",D39)</x:f>
      </x:c>
      <x:c r="J8" s="4" t="str">
        <x:f>IFERROR($D$39/$B$39,"")</x:f>
      </x:c>
      <x:c r="O8" s="1"/>
      <x:c r="P8" s="1"/>
    </x:row>
    <x:row r="9" ht="16.5">
      <x:c r="A9" s="171" t="n">
        <x:v>46114</x:v>
      </x:c>
      <x:c r="B9" s="52" t="str">
        <x:f t="shared" si="0">IF(SUM(C9:F9)=0,"",SUM(C9:F9))</x:f>
      </x:c>
      <x:c r="C9" s="53"/>
      <x:c r="D9" s="54"/>
      <x:c r="E9" s="54"/>
      <x:c r="F9" s="54"/>
      <x:c r="G9" s="1"/>
      <x:c r="H9" s="3" t="str">
        <x:f>F5</x:f>
        <x:v>Clubview</x:v>
      </x:c>
      <x:c r="I9" s="10" t="str">
        <x:f>IF(F39="","",F39)</x:f>
      </x:c>
      <x:c r="J9" s="4" t="str">
        <x:f>IFERROR($F$39/$B$39,"")</x:f>
      </x:c>
      <x:c r="O9" s="1"/>
      <x:c r="P9" s="1"/>
    </x:row>
    <x:row r="10" ht="16.5">
      <x:c r="A10" s="171" t="n">
        <x:v>46115</x:v>
      </x:c>
      <x:c r="B10" s="52" t="str">
        <x:f t="shared" si="0">IF(SUM(C10:F10)=0,"",SUM(C10:F10))</x:f>
      </x:c>
      <x:c r="C10" s="53"/>
      <x:c r="D10" s="54"/>
      <x:c r="E10" s="54"/>
      <x:c r="F10" s="54"/>
      <x:c r="G10" s="1"/>
      <x:c r="H10" s="39"/>
      <x:c r="I10" s="40" t="str">
        <x:f>IF(SUM(I7:I9)=0,"",SUM(I7:I9))</x:f>
      </x:c>
      <x:c r="J10" s="41" t="str">
        <x:f>IF(SUM(J7:J9)=0,"",SUM(J7:J9))</x:f>
      </x:c>
      <x:c r="K10" s="1"/>
      <x:c r="L10" s="1"/>
      <x:c r="M10" s="1"/>
      <x:c r="N10" s="1"/>
      <x:c r="O10" s="1"/>
      <x:c r="P10" s="1"/>
    </x:row>
    <x:row r="11" ht="16.5">
      <x:c r="A11" s="171" t="n">
        <x:v>46116</x:v>
      </x:c>
      <x:c r="B11" s="52" t="str">
        <x:f t="shared" si="0">IF(SUM(C11:F11)=0,"",SUM(C11:F11))</x:f>
      </x:c>
      <x:c r="C11" s="53"/>
      <x:c r="D11" s="54"/>
      <x:c r="E11" s="54"/>
      <x:c r="F11" s="54"/>
      <x:c r="G11" s="1"/>
      <x:c r="H11" s="1"/>
      <x:c r="I11" s="38"/>
      <x:c r="J11" s="30"/>
      <x:c r="K11" s="1"/>
      <x:c r="L11" s="1"/>
      <x:c r="M11" s="1"/>
      <x:c r="N11" s="1"/>
      <x:c r="O11" s="1"/>
      <x:c r="P11" s="1"/>
    </x:row>
    <x:row r="12" ht="16.5">
      <x:c r="A12" s="171" t="n">
        <x:v>46117</x:v>
      </x:c>
      <x:c r="B12" s="52" t="str">
        <x:f t="shared" si="0">IF(SUM(C12:F12)=0,"",SUM(C12:F12))</x:f>
      </x:c>
      <x:c r="C12" s="53"/>
      <x:c r="D12" s="54"/>
      <x:c r="E12" s="54"/>
      <x:c r="F12" s="54"/>
      <x:c r="G12" s="1"/>
      <x:c r="H12" s="1"/>
      <x:c r="I12" s="38"/>
      <x:c r="J12" s="30"/>
      <x:c r="K12" s="1"/>
      <x:c r="L12" s="1"/>
      <x:c r="M12" s="1"/>
      <x:c r="N12" s="1"/>
      <x:c r="O12" s="1"/>
      <x:c r="P12" s="1"/>
    </x:row>
    <x:row r="13" ht="16.5">
      <x:c r="A13" s="171" t="n">
        <x:v>46118</x:v>
      </x:c>
      <x:c r="B13" s="52" t="str">
        <x:f t="shared" si="0">IF(SUM(C13:F13)=0,"",SUM(C13:F13))</x:f>
      </x:c>
      <x:c r="C13" s="53"/>
      <x:c r="D13" s="54"/>
      <x:c r="E13" s="54"/>
      <x:c r="F13" s="54"/>
      <x:c r="G13" s="1"/>
      <x:c r="H13" s="1"/>
      <x:c r="I13" s="1"/>
      <x:c r="J13" s="1"/>
      <x:c r="K13" s="1"/>
      <x:c r="L13" s="1"/>
      <x:c r="M13" s="1"/>
      <x:c r="N13" s="1"/>
      <x:c r="O13" s="1"/>
      <x:c r="P13" s="1"/>
    </x:row>
    <x:row r="14" ht="16.5">
      <x:c r="A14" s="171" t="n">
        <x:v>46119</x:v>
      </x:c>
      <x:c r="B14" s="52" t="str">
        <x:f t="shared" si="0">IF(SUM(C14:F14)=0,"",SUM(C14:F14))</x:f>
      </x:c>
      <x:c r="C14" s="53"/>
      <x:c r="D14" s="54"/>
      <x:c r="E14" s="54"/>
      <x:c r="F14" s="54"/>
      <x:c r="G14" s="1"/>
      <x:c r="H14" s="1"/>
      <x:c r="I14" s="27"/>
      <x:c r="J14" s="28"/>
      <x:c r="K14" s="1"/>
      <x:c r="L14" s="1"/>
      <x:c r="M14" s="1"/>
      <x:c r="N14" s="1"/>
      <x:c r="O14" s="1"/>
      <x:c r="P14" s="1"/>
    </x:row>
    <x:row r="15" ht="16.5">
      <x:c r="A15" s="171" t="n">
        <x:v>46120</x:v>
      </x:c>
      <x:c r="B15" s="52" t="str">
        <x:f t="shared" si="0">IF(SUM(C15:F15)=0,"",SUM(C15:F15))</x:f>
      </x:c>
      <x:c r="C15" s="53"/>
      <x:c r="D15" s="54"/>
      <x:c r="E15" s="54"/>
      <x:c r="F15" s="54"/>
      <x:c r="G15" s="1"/>
      <x:c r="H15" s="1"/>
      <x:c r="I15" s="1"/>
      <x:c r="J15" s="1"/>
      <x:c r="K15" s="1"/>
      <x:c r="L15" s="1"/>
      <x:c r="M15" s="1"/>
      <x:c r="N15" s="1"/>
      <x:c r="O15" s="1"/>
      <x:c r="P15" s="1"/>
    </x:row>
    <x:row r="16" ht="16.5">
      <x:c r="A16" s="171" t="n">
        <x:v>46121</x:v>
      </x:c>
      <x:c r="B16" s="52" t="str">
        <x:f t="shared" si="0">IF(SUM(C16:F16)=0,"",SUM(C16:F16))</x:f>
      </x:c>
      <x:c r="C16" s="53"/>
      <x:c r="D16" s="54"/>
      <x:c r="E16" s="54"/>
      <x:c r="F16" s="54"/>
      <x:c r="G16" s="1"/>
      <x:c r="H16" s="1"/>
      <x:c r="I16" s="1"/>
      <x:c r="J16" s="1"/>
      <x:c r="K16" s="1"/>
      <x:c r="L16" s="1"/>
      <x:c r="M16" s="1"/>
      <x:c r="N16" s="1"/>
      <x:c r="O16" s="1"/>
      <x:c r="P16" s="1"/>
    </x:row>
    <x:row r="17" ht="16.5">
      <x:c r="A17" s="171" t="n">
        <x:v>46122</x:v>
      </x:c>
      <x:c r="B17" s="52" t="str">
        <x:f t="shared" si="0">IF(SUM(C17:F17)=0,"",SUM(C17:F17))</x:f>
      </x:c>
      <x:c r="C17" s="53"/>
      <x:c r="D17" s="54"/>
      <x:c r="E17" s="54"/>
      <x:c r="F17" s="54"/>
      <x:c r="G17" s="1"/>
      <x:c r="H17" s="1"/>
      <x:c r="I17" s="1"/>
      <x:c r="J17" s="1"/>
      <x:c r="K17" s="1"/>
      <x:c r="L17" s="1"/>
      <x:c r="M17" s="1"/>
      <x:c r="N17" s="1"/>
      <x:c r="O17" s="1"/>
      <x:c r="P17" s="1"/>
    </x:row>
    <x:row r="18" ht="16.5">
      <x:c r="A18" s="171" t="n">
        <x:v>46123</x:v>
      </x:c>
      <x:c r="B18" s="52" t="str">
        <x:f t="shared" si="0">IF(SUM(C18:F18)=0,"",SUM(C18:F18))</x:f>
      </x:c>
      <x:c r="C18" s="53"/>
      <x:c r="D18" s="54"/>
      <x:c r="E18" s="54"/>
      <x:c r="F18" s="54"/>
      <x:c r="G18" s="1"/>
      <x:c r="H18" s="1"/>
      <x:c r="I18" s="1"/>
      <x:c r="J18" s="1"/>
      <x:c r="K18" s="1"/>
      <x:c r="L18" s="1"/>
      <x:c r="M18" s="1"/>
      <x:c r="N18" s="1"/>
      <x:c r="O18" s="1"/>
      <x:c r="P18" s="1"/>
    </x:row>
    <x:row r="19" ht="16.5">
      <x:c r="A19" s="171" t="n">
        <x:v>46124</x:v>
      </x:c>
      <x:c r="B19" s="52" t="str">
        <x:f t="shared" si="0">IF(SUM(C19:F19)=0,"",SUM(C19:F19))</x:f>
      </x:c>
      <x:c r="C19" s="53"/>
      <x:c r="D19" s="54"/>
      <x:c r="E19" s="54"/>
      <x:c r="F19" s="54"/>
      <x:c r="G19" s="1"/>
      <x:c r="H19" s="1"/>
      <x:c r="I19" s="1"/>
      <x:c r="J19" s="1"/>
      <x:c r="K19" s="1"/>
      <x:c r="L19" s="1"/>
      <x:c r="M19" s="1"/>
      <x:c r="N19" s="1"/>
      <x:c r="O19" s="1"/>
      <x:c r="P19" s="1"/>
    </x:row>
    <x:row r="20" ht="16.5">
      <x:c r="A20" s="171" t="n">
        <x:v>46125</x:v>
      </x:c>
      <x:c r="B20" s="52" t="str">
        <x:f t="shared" si="0">IF(SUM(C20:F20)=0,"",SUM(C20:F20))</x:f>
      </x:c>
      <x:c r="C20" s="53"/>
      <x:c r="D20" s="54"/>
      <x:c r="E20" s="54"/>
      <x:c r="F20" s="54"/>
      <x:c r="G20" s="1"/>
      <x:c r="H20" s="1"/>
      <x:c r="I20" s="1"/>
      <x:c r="J20" s="1"/>
      <x:c r="K20" s="1"/>
      <x:c r="L20" s="1"/>
      <x:c r="M20" s="1"/>
      <x:c r="N20" s="1"/>
      <x:c r="O20" s="1"/>
      <x:c r="P20" s="1"/>
    </x:row>
    <x:row r="21" ht="16.5">
      <x:c r="A21" s="171" t="n">
        <x:v>46126</x:v>
      </x:c>
      <x:c r="B21" s="52" t="str">
        <x:f t="shared" si="0">IF(SUM(C21:F21)=0,"",SUM(C21:F21))</x:f>
      </x:c>
      <x:c r="C21" s="53"/>
      <x:c r="D21" s="54"/>
      <x:c r="E21" s="54"/>
      <x:c r="F21" s="54"/>
      <x:c r="G21" s="1"/>
      <x:c r="H21" s="1"/>
      <x:c r="I21" s="1"/>
      <x:c r="J21" s="1"/>
      <x:c r="K21" s="1"/>
      <x:c r="L21" s="1"/>
      <x:c r="M21" s="1"/>
      <x:c r="N21" s="1"/>
      <x:c r="O21" s="1"/>
      <x:c r="P21" s="1"/>
    </x:row>
    <x:row r="22" ht="16.5">
      <x:c r="A22" s="171" t="n">
        <x:v>46127</x:v>
      </x:c>
      <x:c r="B22" s="52" t="str">
        <x:f t="shared" si="0">IF(SUM(C22:F22)=0,"",SUM(C22:F22))</x:f>
      </x:c>
      <x:c r="C22" s="53"/>
      <x:c r="D22" s="54"/>
      <x:c r="E22" s="54"/>
      <x:c r="F22" s="54"/>
      <x:c r="G22" s="1"/>
      <x:c r="H22" s="1"/>
      <x:c r="I22" s="1"/>
      <x:c r="J22" s="1"/>
      <x:c r="K22" s="1"/>
      <x:c r="L22" s="1"/>
      <x:c r="M22" s="1"/>
      <x:c r="N22" s="1"/>
      <x:c r="O22" s="1"/>
      <x:c r="P22" s="1"/>
    </x:row>
    <x:row r="23" ht="16.5">
      <x:c r="A23" s="171" t="n">
        <x:v>46128</x:v>
      </x:c>
      <x:c r="B23" s="52" t="str">
        <x:f t="shared" si="0">IF(SUM(C23:F23)=0,"",SUM(C23:F23))</x:f>
      </x:c>
      <x:c r="C23" s="53"/>
      <x:c r="D23" s="54"/>
      <x:c r="E23" s="54"/>
      <x:c r="F23" s="54"/>
      <x:c r="G23" s="1"/>
      <x:c r="H23" s="1"/>
      <x:c r="I23" s="1"/>
      <x:c r="J23" s="1"/>
      <x:c r="K23" s="1"/>
      <x:c r="L23" s="1"/>
      <x:c r="M23" s="1"/>
      <x:c r="N23" s="1"/>
      <x:c r="O23" s="1"/>
      <x:c r="P23" s="1"/>
    </x:row>
    <x:row r="24" ht="16.5">
      <x:c r="A24" s="171" t="n">
        <x:v>46129</x:v>
      </x:c>
      <x:c r="B24" s="52" t="str">
        <x:f t="shared" si="0">IF(SUM(C24:F24)=0,"",SUM(C24:F24))</x:f>
      </x:c>
      <x:c r="C24" s="53"/>
      <x:c r="D24" s="54"/>
      <x:c r="E24" s="54"/>
      <x:c r="F24" s="54"/>
      <x:c r="G24" s="1"/>
      <x:c r="H24" s="1"/>
      <x:c r="I24" s="1"/>
      <x:c r="J24" s="1"/>
      <x:c r="K24" s="1"/>
      <x:c r="L24" s="1"/>
      <x:c r="M24" s="1"/>
      <x:c r="N24" s="1"/>
      <x:c r="O24" s="1"/>
      <x:c r="P24" s="1"/>
    </x:row>
    <x:row r="25" ht="16.5">
      <x:c r="A25" s="171" t="n">
        <x:v>46130</x:v>
      </x:c>
      <x:c r="B25" s="52" t="str">
        <x:f t="shared" si="0">IF(SUM(C25:F25)=0,"",SUM(C25:F25))</x:f>
      </x:c>
      <x:c r="C25" s="53"/>
      <x:c r="D25" s="54"/>
      <x:c r="E25" s="54"/>
      <x:c r="F25" s="54"/>
      <x:c r="G25" s="1"/>
      <x:c r="H25" s="34"/>
      <x:c r="I25" s="34"/>
      <x:c r="J25" s="34"/>
      <x:c r="K25" s="1"/>
      <x:c r="L25" s="1"/>
      <x:c r="M25" s="1"/>
      <x:c r="N25" s="1"/>
      <x:c r="O25" s="1"/>
      <x:c r="P25" s="1"/>
    </x:row>
    <x:row r="26" ht="16.5">
      <x:c r="A26" s="171" t="n">
        <x:v>46131</x:v>
      </x:c>
      <x:c r="B26" s="52" t="str">
        <x:f t="shared" si="0">IF(SUM(C26:F26)=0,"",SUM(C26:F26))</x:f>
      </x:c>
      <x:c r="C26" s="53"/>
      <x:c r="D26" s="54"/>
      <x:c r="E26" s="54"/>
      <x:c r="F26" s="54"/>
      <x:c r="G26" s="1"/>
      <x:c r="H26" s="33"/>
      <x:c r="I26" s="33"/>
      <x:c r="J26" s="33"/>
      <x:c r="K26" s="1"/>
      <x:c r="L26" s="1"/>
      <x:c r="M26" s="1"/>
      <x:c r="N26" s="1"/>
      <x:c r="O26" s="1"/>
      <x:c r="P26" s="1"/>
    </x:row>
    <x:row r="27" ht="16.5">
      <x:c r="A27" s="171" t="n">
        <x:v>46132</x:v>
      </x:c>
      <x:c r="B27" s="52" t="str">
        <x:f t="shared" si="0">IF(SUM(C27:F27)=0,"",SUM(C27:F27))</x:f>
      </x:c>
      <x:c r="C27" s="53"/>
      <x:c r="D27" s="54"/>
      <x:c r="E27" s="54"/>
      <x:c r="F27" s="54"/>
      <x:c r="G27" s="1"/>
      <x:c r="H27" s="34"/>
      <x:c r="I27" s="35"/>
      <x:c r="J27" s="36"/>
      <x:c r="K27" s="1"/>
      <x:c r="L27" s="1"/>
      <x:c r="M27" s="1"/>
      <x:c r="N27" s="1"/>
      <x:c r="O27" s="1"/>
      <x:c r="P27" s="1"/>
    </x:row>
    <x:row r="28" ht="16.5">
      <x:c r="A28" s="171" t="n">
        <x:v>46133</x:v>
      </x:c>
      <x:c r="B28" s="52" t="str">
        <x:f t="shared" si="0">IF(SUM(C28:F28)=0,"",SUM(C28:F28))</x:f>
      </x:c>
      <x:c r="C28" s="53"/>
      <x:c r="D28" s="54"/>
      <x:c r="E28" s="54"/>
      <x:c r="F28" s="54"/>
      <x:c r="G28" s="1"/>
      <x:c r="H28" s="34"/>
      <x:c r="I28" s="37"/>
      <x:c r="J28" s="36"/>
      <x:c r="K28" s="1"/>
      <x:c r="L28" s="1"/>
      <x:c r="M28" s="1"/>
      <x:c r="N28" s="1"/>
      <x:c r="O28" s="1"/>
      <x:c r="P28" s="1"/>
    </x:row>
    <x:row r="29" ht="16.5">
      <x:c r="A29" s="171" t="n">
        <x:v>46134</x:v>
      </x:c>
      <x:c r="B29" s="52" t="str">
        <x:f t="shared" si="0">IF(SUM(C29:F29)=0,"",SUM(C29:F29))</x:f>
      </x:c>
      <x:c r="C29" s="55"/>
      <x:c r="D29" s="56"/>
      <x:c r="E29" s="56"/>
      <x:c r="F29" s="56"/>
      <x:c r="G29" s="1"/>
      <x:c r="H29" s="1"/>
      <x:c r="I29" s="29"/>
      <x:c r="J29" s="30"/>
      <x:c r="K29" s="1"/>
      <x:c r="L29" s="1"/>
      <x:c r="M29" s="1"/>
      <x:c r="N29" s="1"/>
      <x:c r="O29" s="1"/>
      <x:c r="P29" s="1"/>
    </x:row>
    <x:row r="30" ht="16.5">
      <x:c r="A30" s="171" t="n">
        <x:v>46135</x:v>
      </x:c>
      <x:c r="B30" s="52" t="str">
        <x:f t="shared" si="0">IF(SUM(C30:F30)=0,"",SUM(C30:F30))</x:f>
      </x:c>
      <x:c r="C30" s="53"/>
      <x:c r="D30" s="54"/>
      <x:c r="E30" s="54"/>
      <x:c r="F30" s="54"/>
      <x:c r="G30" s="1"/>
      <x:c r="H30" s="1"/>
      <x:c r="I30" s="31"/>
      <x:c r="J30" s="30"/>
      <x:c r="K30" s="1"/>
      <x:c r="L30" s="1"/>
      <x:c r="M30" s="1"/>
      <x:c r="N30" s="1"/>
      <x:c r="O30" s="1"/>
      <x:c r="P30" s="1"/>
    </x:row>
    <x:row r="31" ht="16.5">
      <x:c r="A31" s="171" t="n">
        <x:v>46136</x:v>
      </x:c>
      <x:c r="B31" s="52" t="str">
        <x:f t="shared" si="0">IF(SUM(C31:F31)=0,"",SUM(C31:F31))</x:f>
      </x:c>
      <x:c r="C31" s="53"/>
      <x:c r="D31" s="54"/>
      <x:c r="E31" s="54"/>
      <x:c r="F31" s="54"/>
      <x:c r="G31" s="1"/>
      <x:c r="H31" s="1"/>
      <x:c r="I31" s="29"/>
      <x:c r="J31" s="30"/>
      <x:c r="K31" s="1"/>
      <x:c r="L31" s="1"/>
      <x:c r="M31" s="1"/>
      <x:c r="N31" s="1"/>
      <x:c r="O31" s="1"/>
      <x:c r="P31" s="1"/>
    </x:row>
    <x:row r="32" ht="16.5">
      <x:c r="A32" s="171" t="n">
        <x:v>46137</x:v>
      </x:c>
      <x:c r="B32" s="52" t="str">
        <x:f t="shared" si="0">IF(SUM(C32:F32)=0,"",SUM(C32:F32))</x:f>
      </x:c>
      <x:c r="C32" s="53"/>
      <x:c r="D32" s="54"/>
      <x:c r="E32" s="54"/>
      <x:c r="F32" s="54"/>
      <x:c r="G32" s="1"/>
      <x:c r="H32" s="1"/>
      <x:c r="I32" s="31"/>
      <x:c r="J32" s="30"/>
      <x:c r="K32" s="1"/>
      <x:c r="L32" s="1"/>
      <x:c r="M32" s="1"/>
      <x:c r="N32" s="1"/>
      <x:c r="O32" s="1"/>
      <x:c r="P32" s="1"/>
    </x:row>
    <x:row r="33" ht="16.5">
      <x:c r="A33" s="171" t="n">
        <x:v>46138</x:v>
      </x:c>
      <x:c r="B33" s="52" t="str">
        <x:f t="shared" si="0">IF(SUM(C33:F33)=0,"",SUM(C33:F33))</x:f>
      </x:c>
      <x:c r="C33" s="53"/>
      <x:c r="D33" s="54"/>
      <x:c r="E33" s="54"/>
      <x:c r="F33" s="54"/>
      <x:c r="G33" s="1"/>
      <x:c r="H33" s="1"/>
      <x:c r="I33" s="32"/>
      <x:c r="J33" s="30"/>
      <x:c r="K33" s="1"/>
      <x:c r="L33" s="1"/>
      <x:c r="M33" s="1"/>
      <x:c r="N33" s="1"/>
      <x:c r="O33" s="1"/>
      <x:c r="P33" s="1"/>
    </x:row>
    <x:row r="34" ht="16.5">
      <x:c r="A34" s="171" t="n">
        <x:v>46139</x:v>
      </x:c>
      <x:c r="B34" s="52" t="str">
        <x:f t="shared" si="0">IF(SUM(C34:F34)=0,"",SUM(C34:F34))</x:f>
      </x:c>
      <x:c r="C34" s="53"/>
      <x:c r="D34" s="54"/>
      <x:c r="E34" s="54"/>
      <x:c r="F34" s="54"/>
      <x:c r="G34" s="1"/>
      <x:c r="H34" s="1"/>
      <x:c r="I34" s="1"/>
      <x:c r="J34" s="1"/>
      <x:c r="K34" s="1"/>
      <x:c r="L34" s="1"/>
      <x:c r="M34" s="1"/>
      <x:c r="N34" s="1"/>
      <x:c r="O34" s="1"/>
      <x:c r="P34" s="1"/>
    </x:row>
    <x:row r="35" ht="16.5">
      <x:c r="A35" s="171" t="n">
        <x:v>46140</x:v>
      </x:c>
      <x:c r="B35" s="52" t="str">
        <x:f t="shared" si="0">IF(SUM(C35:F35)=0,"",SUM(C35:F35))</x:f>
      </x:c>
      <x:c r="C35" s="53"/>
      <x:c r="D35" s="54"/>
      <x:c r="E35" s="54"/>
      <x:c r="F35" s="54"/>
      <x:c r="G35" s="1"/>
      <x:c r="H35" s="1"/>
      <x:c r="I35" s="1"/>
      <x:c r="J35" s="1"/>
      <x:c r="K35" s="1"/>
      <x:c r="L35" s="1"/>
      <x:c r="M35" s="1"/>
      <x:c r="N35" s="1"/>
      <x:c r="O35" s="1"/>
      <x:c r="P35" s="1"/>
    </x:row>
    <x:row r="36" ht="16.5">
      <x:c r="A36" s="171" t="n">
        <x:v>46141</x:v>
      </x:c>
      <x:c r="B36" s="52" t="str">
        <x:f t="shared" si="0">IF(SUM(C36:F36)=0,"",SUM(C36:F36))</x:f>
      </x:c>
      <x:c r="C36" s="53"/>
      <x:c r="D36" s="54"/>
      <x:c r="E36" s="54"/>
      <x:c r="F36" s="54"/>
      <x:c r="G36" s="1"/>
      <x:c r="H36" s="1"/>
      <x:c r="I36" s="1"/>
      <x:c r="J36" s="1"/>
      <x:c r="K36" s="1"/>
      <x:c r="L36" s="1"/>
      <x:c r="M36" s="1"/>
      <x:c r="N36" s="1"/>
      <x:c r="O36" s="1"/>
      <x:c r="P36" s="1"/>
    </x:row>
    <x:row r="37" ht="16.5">
      <x:c r="A37" s="171" t="n">
        <x:v>46142</x:v>
      </x:c>
      <x:c r="B37" s="52" t="str">
        <x:f t="shared" si="0">IF(SUM(C37:F37)=0,"",SUM(C37:F37))</x:f>
      </x:c>
      <x:c r="C37" s="53"/>
      <x:c r="D37" s="54"/>
      <x:c r="E37" s="54"/>
      <x:c r="F37" s="54"/>
      <x:c r="G37" s="1"/>
      <x:c r="H37" s="1"/>
      <x:c r="I37" s="1"/>
      <x:c r="J37" s="1"/>
      <x:c r="K37" s="1"/>
      <x:c r="L37" s="1"/>
      <x:c r="M37" s="1"/>
      <x:c r="N37" s="1"/>
      <x:c r="O37" s="1"/>
      <x:c r="P37" s="1"/>
    </x:row>
    <x:row r="38" ht="16.5">
      <x:c r="A38" s="171"/>
      <x:c r="B38" s="52" t="str">
        <x:f>IF(SUM(C38:F38)=0,"",SUM(C38:F38))</x:f>
      </x:c>
      <x:c r="C38" s="53"/>
      <x:c r="D38" s="54"/>
      <x:c r="E38" s="54"/>
      <x:c r="F38" s="54"/>
      <x:c r="G38" s="1"/>
      <x:c r="H38" s="1"/>
      <x:c r="I38" s="1"/>
      <x:c r="J38" s="1"/>
      <x:c r="K38" s="1"/>
      <x:c r="L38" s="1"/>
      <x:c r="M38" s="1"/>
      <x:c r="N38" s="1"/>
      <x:c r="O38" s="1"/>
      <x:c r="P38" s="1"/>
    </x:row>
    <x:row r="39" ht="16.5">
      <x:c r="A39" s="51"/>
      <x:c r="B39" s="57" t="str">
        <x:f>IF(SUM(B8:B38)=0,"",SUM(B8:B38))</x:f>
      </x:c>
      <x:c r="C39" s="58" t="str">
        <x:f>IF(SUM(C8:C38)=0,"",SUM(C8:C38))</x:f>
      </x:c>
      <x:c r="D39" s="59" t="str">
        <x:f>IF(SUM(D8:D38)=0,"",SUM(D8:D38))</x:f>
      </x:c>
      <x:c r="E39" s="59" t="str">
        <x:f>IF(SUM(E8:E38)=0,"",SUM(E8:E38))</x:f>
      </x:c>
      <x:c r="F39" s="59" t="str">
        <x:f>IF(SUM(F8:F38)=0,"",SUM(F8:F38))</x:f>
      </x:c>
      <x:c r="G39" s="1"/>
      <x:c r="H39" s="1"/>
      <x:c r="I39" s="1"/>
      <x:c r="J39" s="1"/>
      <x:c r="K39" s="1"/>
      <x:c r="L39" s="1"/>
      <x:c r="M39" s="1"/>
      <x:c r="N39" s="1"/>
      <x:c r="O39" s="1"/>
      <x:c r="P39" s="1"/>
    </x:row>
    <x:row r="40" ht="16.5">
      <x:c r="B40" s="11"/>
      <x:c r="C40" s="1"/>
      <x:c r="D40" s="19"/>
      <x:c r="E40" s="19"/>
      <x:c r="F40" s="19"/>
      <x:c r="G40" s="1"/>
      <x:c r="H40" s="1"/>
      <x:c r="I40" s="1"/>
      <x:c r="J40" s="1"/>
      <x:c r="K40" s="1"/>
      <x:c r="L40" s="1"/>
      <x:c r="M40" s="1"/>
      <x:c r="N40" s="1"/>
      <x:c r="O40" s="1"/>
      <x:c r="P40" s="1"/>
    </x:row>
    <x:row r="41" ht="16.5">
      <x:c r="B41" s="11"/>
      <x:c r="C41" s="1"/>
      <x:c r="D41" s="19"/>
      <x:c r="E41" s="19"/>
      <x:c r="F41" s="19"/>
      <x:c r="G41" s="1"/>
      <x:c r="H41" s="1"/>
      <x:c r="I41" s="1"/>
      <x:c r="J41" s="1"/>
      <x:c r="K41" s="1"/>
      <x:c r="L41" s="1"/>
      <x:c r="M41" s="1"/>
      <x:c r="N41" s="1"/>
      <x:c r="O41" s="1"/>
      <x:c r="P41" s="1"/>
    </x:row>
    <x:row r="42" ht="16.5">
      <x:c r="B42" s="11"/>
      <x:c r="C42" s="27"/>
      <x:c r="D42" s="19"/>
      <x:c r="E42" s="19"/>
      <x:c r="F42" s="19"/>
      <x:c r="G42" s="1"/>
      <x:c r="H42" s="1"/>
      <x:c r="I42" s="1"/>
      <x:c r="J42" s="1"/>
      <x:c r="K42" s="1"/>
      <x:c r="L42" s="1"/>
      <x:c r="M42" s="1"/>
      <x:c r="N42" s="1"/>
      <x:c r="O42" s="1"/>
      <x:c r="P42" s="1"/>
    </x:row>
    <x:row r="43" ht="16.5">
      <x:c r="B43" s="11"/>
      <x:c r="C43" s="27"/>
      <x:c r="D43" s="19"/>
      <x:c r="E43" s="19"/>
      <x:c r="F43" s="19"/>
      <x:c r="G43" s="1"/>
      <x:c r="H43" s="1"/>
      <x:c r="I43" s="1"/>
      <x:c r="J43" s="1"/>
      <x:c r="K43" s="1"/>
      <x:c r="L43" s="1"/>
      <x:c r="M43" s="1"/>
      <x:c r="N43" s="1"/>
      <x:c r="O43" s="1"/>
      <x:c r="P43" s="1"/>
    </x:row>
    <x:row r="44" ht="16.5">
      <x:c r="B44" s="11"/>
      <x:c r="C44" s="27"/>
      <x:c r="D44" s="19"/>
      <x:c r="E44" s="19"/>
      <x:c r="F44" s="19"/>
      <x:c r="G44" s="1"/>
      <x:c r="H44" s="1"/>
      <x:c r="I44" s="1"/>
      <x:c r="J44" s="1"/>
      <x:c r="K44" s="1"/>
      <x:c r="L44" s="1"/>
      <x:c r="M44" s="1"/>
      <x:c r="N44" s="1"/>
      <x:c r="O44" s="1"/>
      <x:c r="P44" s="1"/>
    </x:row>
    <x:row r="45" ht="16.5">
      <x:c r="B45" s="11"/>
      <x:c r="C45" s="1"/>
      <x:c r="D45" s="19"/>
      <x:c r="E45" s="19"/>
      <x:c r="F45" s="19"/>
      <x:c r="G45" s="1"/>
      <x:c r="H45" s="1"/>
      <x:c r="I45" s="1"/>
      <x:c r="J45" s="1"/>
      <x:c r="K45" s="1"/>
      <x:c r="L45" s="1"/>
      <x:c r="M45" s="1"/>
      <x:c r="N45" s="1"/>
      <x:c r="O45" s="1"/>
      <x:c r="P45" s="1"/>
    </x:row>
    <x:row r="46" ht="16.5">
      <x:c r="B46" s="11"/>
      <x:c r="C46" s="1"/>
      <x:c r="D46" s="19"/>
      <x:c r="E46" s="19"/>
      <x:c r="F46" s="19"/>
      <x:c r="G46" s="1"/>
      <x:c r="H46" s="1"/>
      <x:c r="I46" s="1"/>
      <x:c r="J46" s="1"/>
      <x:c r="K46" s="1"/>
      <x:c r="L46" s="1"/>
      <x:c r="M46" s="1"/>
      <x:c r="N46" s="1"/>
      <x:c r="O46" s="1"/>
      <x:c r="P46" s="1"/>
    </x:row>
    <x:row r="47" ht="16.5">
      <x:c r="B47" s="11"/>
      <x:c r="C47" s="1"/>
      <x:c r="D47" s="19"/>
      <x:c r="E47" s="19"/>
      <x:c r="F47" s="19"/>
      <x:c r="G47" s="1"/>
      <x:c r="H47" s="1"/>
      <x:c r="I47" s="1"/>
      <x:c r="J47" s="1"/>
      <x:c r="K47" s="1"/>
      <x:c r="L47" s="1"/>
      <x:c r="M47" s="1"/>
      <x:c r="N47" s="1"/>
      <x:c r="O47" s="1"/>
      <x:c r="P47" s="1"/>
    </x:row>
    <x:row r="48" ht="16.5">
      <x:c r="B48" s="11"/>
      <x:c r="C48" s="1"/>
      <x:c r="D48" s="19"/>
      <x:c r="E48" s="19"/>
      <x:c r="F48" s="19"/>
      <x:c r="G48" s="1"/>
      <x:c r="H48" s="1"/>
      <x:c r="I48" s="1"/>
      <x:c r="J48" s="1"/>
      <x:c r="K48" s="1"/>
      <x:c r="L48" s="1"/>
      <x:c r="M48" s="1"/>
      <x:c r="N48" s="1"/>
      <x:c r="O48" s="1"/>
      <x:c r="P48" s="1"/>
    </x:row>
    <x:row r="49" ht="16.5">
      <x:c r="A49"/>
      <x:c r="B49" s="11"/>
      <x:c r="C49" s="1"/>
      <x:c r="D49" s="19"/>
      <x:c r="E49" s="19"/>
      <x:c r="F49" s="19"/>
      <x:c r="G49" s="1"/>
      <x:c r="H49" s="1"/>
      <x:c r="I49" s="1"/>
      <x:c r="J49" s="1"/>
      <x:c r="K49" s="1"/>
      <x:c r="L49" s="1"/>
      <x:c r="M49" s="1"/>
      <x:c r="N49" s="1"/>
      <x:c r="O49" s="1"/>
      <x:c r="P49" s="1"/>
    </x:row>
    <x:row r="50" ht="16.5">
      <x:c r="A50"/>
      <x:c r="B50" s="11"/>
      <x:c r="C50" s="1"/>
      <x:c r="D50" s="19"/>
      <x:c r="E50" s="19"/>
      <x:c r="F50" s="19"/>
      <x:c r="G50" s="1"/>
      <x:c r="H50" s="1"/>
      <x:c r="I50" s="1"/>
      <x:c r="J50" s="1"/>
      <x:c r="K50" s="1"/>
      <x:c r="L50" s="1"/>
      <x:c r="M50" s="1"/>
      <x:c r="N50" s="1"/>
      <x:c r="O50" s="1"/>
      <x:c r="P50" s="1"/>
    </x:row>
    <x:row r="51" ht="16.5">
      <x:c r="A51"/>
      <x:c r="B51" s="11"/>
      <x:c r="C51" s="1"/>
      <x:c r="D51" s="19"/>
      <x:c r="E51" s="19"/>
      <x:c r="F51" s="19"/>
      <x:c r="G51" s="1"/>
      <x:c r="H51" s="1"/>
      <x:c r="I51" s="1"/>
      <x:c r="J51" s="1"/>
      <x:c r="K51" s="1"/>
      <x:c r="L51" s="1"/>
      <x:c r="M51" s="1"/>
      <x:c r="N51" s="1"/>
      <x:c r="O51" s="1"/>
      <x:c r="P51" s="1"/>
    </x:row>
    <x:row r="52" ht="16.5">
      <x:c r="A52"/>
      <x:c r="B52" s="11"/>
      <x:c r="C52" s="1"/>
      <x:c r="D52" s="19"/>
      <x:c r="E52" s="19"/>
      <x:c r="F52" s="19"/>
      <x:c r="G52" s="1"/>
      <x:c r="H52" s="1"/>
      <x:c r="I52" s="1"/>
      <x:c r="J52" s="1"/>
      <x:c r="K52" s="1"/>
      <x:c r="L52" s="1"/>
      <x:c r="M52" s="1"/>
      <x:c r="N52" s="1"/>
      <x:c r="O52" s="1"/>
      <x:c r="P52" s="1"/>
    </x:row>
    <x:row r="53" ht="16.5">
      <x:c r="A53"/>
      <x:c r="B53" s="11"/>
      <x:c r="C53" s="1"/>
      <x:c r="D53" s="19"/>
      <x:c r="E53" s="19"/>
      <x:c r="F53" s="19"/>
      <x:c r="G53" s="1"/>
      <x:c r="H53" s="1"/>
      <x:c r="I53" s="1"/>
      <x:c r="J53" s="1"/>
      <x:c r="K53" s="1"/>
      <x:c r="L53" s="1"/>
      <x:c r="M53" s="1"/>
      <x:c r="N53" s="1"/>
      <x:c r="O53" s="1"/>
      <x:c r="P53" s="1"/>
    </x:row>
    <x:row r="54" ht="16.5">
      <x:c r="A54"/>
      <x:c r="B54" s="11"/>
      <x:c r="C54" s="1"/>
      <x:c r="D54" s="19"/>
      <x:c r="E54" s="19"/>
      <x:c r="F54" s="19"/>
      <x:c r="G54" s="1"/>
      <x:c r="H54" s="1"/>
      <x:c r="I54" s="1"/>
      <x:c r="J54" s="1"/>
      <x:c r="K54" s="1"/>
      <x:c r="L54" s="1"/>
      <x:c r="M54" s="1"/>
      <x:c r="N54" s="1"/>
      <x:c r="O54" s="1"/>
      <x:c r="P54" s="1"/>
    </x:row>
    <x:row r="55" ht="16.5">
      <x:c r="A55"/>
      <x:c r="B55" s="11"/>
      <x:c r="C55" s="1"/>
      <x:c r="D55" s="19"/>
      <x:c r="E55" s="19"/>
      <x:c r="F55" s="19"/>
      <x:c r="G55" s="1"/>
      <x:c r="H55" s="1"/>
      <x:c r="I55" s="1"/>
      <x:c r="J55" s="1"/>
      <x:c r="K55" s="1"/>
      <x:c r="L55" s="1"/>
      <x:c r="M55" s="1"/>
      <x:c r="N55" s="1"/>
      <x:c r="O55" s="1"/>
      <x:c r="P55" s="1"/>
    </x:row>
    <x:row r="56" ht="16.5">
      <x:c r="A56"/>
      <x:c r="B56" s="11"/>
      <x:c r="C56" s="1"/>
      <x:c r="D56" s="19"/>
      <x:c r="E56" s="19"/>
      <x:c r="F56" s="19"/>
      <x:c r="G56" s="1"/>
      <x:c r="H56" s="1"/>
      <x:c r="I56" s="1"/>
      <x:c r="J56" s="1"/>
      <x:c r="K56" s="1"/>
      <x:c r="L56" s="1"/>
      <x:c r="M56" s="1"/>
      <x:c r="N56" s="1"/>
      <x:c r="O56" s="1"/>
      <x:c r="P56" s="1"/>
    </x:row>
    <x:row r="57" ht="16.5">
      <x:c r="A57"/>
      <x:c r="B57" s="11"/>
      <x:c r="C57" s="1"/>
      <x:c r="D57" s="19"/>
      <x:c r="E57" s="19"/>
      <x:c r="F57" s="19"/>
      <x:c r="G57" s="1"/>
      <x:c r="H57" s="1"/>
      <x:c r="I57" s="1"/>
      <x:c r="J57" s="1"/>
      <x:c r="K57" s="1"/>
      <x:c r="L57" s="1"/>
      <x:c r="M57" s="1"/>
      <x:c r="N57" s="1"/>
      <x:c r="O57" s="1"/>
      <x:c r="P57" s="1"/>
    </x:row>
    <x:row r="58" ht="16.5">
      <x:c r="A58"/>
      <x:c r="B58" s="11"/>
      <x:c r="C58" s="1"/>
      <x:c r="D58" s="19"/>
      <x:c r="E58" s="19"/>
      <x:c r="F58" s="19"/>
      <x:c r="G58" s="1"/>
      <x:c r="H58" s="1"/>
      <x:c r="I58" s="1"/>
      <x:c r="J58" s="1"/>
      <x:c r="K58" s="1"/>
      <x:c r="L58" s="1"/>
      <x:c r="M58" s="1"/>
      <x:c r="N58" s="1"/>
      <x:c r="O58" s="1"/>
      <x:c r="P58" s="1"/>
    </x:row>
    <x:row r="59" ht="16.5">
      <x:c r="A59"/>
      <x:c r="B59" s="11"/>
      <x:c r="C59" s="1"/>
      <x:c r="D59" s="19"/>
      <x:c r="E59" s="19"/>
      <x:c r="F59" s="19"/>
      <x:c r="G59" s="1"/>
      <x:c r="H59" s="1"/>
      <x:c r="I59" s="1"/>
      <x:c r="J59" s="1"/>
      <x:c r="K59" s="1"/>
      <x:c r="L59" s="1"/>
      <x:c r="M59" s="1"/>
      <x:c r="N59" s="1"/>
      <x:c r="O59" s="1"/>
      <x:c r="P59" s="1"/>
    </x:row>
    <x:row r="60" ht="16.5">
      <x:c r="A60"/>
      <x:c r="B60" s="11"/>
      <x:c r="C60" s="1"/>
      <x:c r="D60" s="19"/>
      <x:c r="E60" s="19"/>
      <x:c r="F60" s="19"/>
      <x:c r="G60" s="1"/>
      <x:c r="H60" s="1"/>
      <x:c r="I60" s="1"/>
      <x:c r="J60" s="1"/>
      <x:c r="K60" s="1"/>
      <x:c r="L60" s="1"/>
      <x:c r="M60" s="1"/>
      <x:c r="N60" s="1"/>
      <x:c r="O60" s="1"/>
      <x:c r="P60" s="1"/>
    </x:row>
    <x:row r="61" ht="16.5">
      <x:c r="A61"/>
      <x:c r="B61" s="11"/>
      <x:c r="C61" s="1"/>
      <x:c r="D61" s="19"/>
      <x:c r="E61" s="19"/>
      <x:c r="F61" s="19"/>
      <x:c r="G61" s="1"/>
      <x:c r="H61" s="1"/>
      <x:c r="I61" s="1"/>
      <x:c r="J61" s="1"/>
      <x:c r="K61" s="1"/>
      <x:c r="L61" s="1"/>
      <x:c r="M61" s="1"/>
      <x:c r="N61" s="1"/>
      <x:c r="O61" s="1"/>
      <x:c r="P61" s="1"/>
    </x:row>
    <x:row r="62" ht="16.5">
      <x:c r="A62"/>
      <x:c r="B62" s="11"/>
      <x:c r="C62" s="1"/>
      <x:c r="D62" s="19"/>
      <x:c r="E62" s="19"/>
      <x:c r="F62" s="19"/>
      <x:c r="G62" s="1"/>
      <x:c r="H62" s="1"/>
      <x:c r="I62" s="1"/>
      <x:c r="J62" s="1"/>
      <x:c r="K62" s="1"/>
      <x:c r="L62" s="1"/>
      <x:c r="M62" s="1"/>
      <x:c r="N62" s="1"/>
      <x:c r="O62" s="1"/>
      <x:c r="P62" s="1"/>
    </x:row>
    <x:row r="63" ht="16.5">
      <x:c r="A63"/>
      <x:c r="B63" s="11"/>
      <x:c r="C63" s="1"/>
      <x:c r="D63" s="19"/>
      <x:c r="E63" s="19"/>
      <x:c r="F63" s="19"/>
      <x:c r="G63" s="1"/>
      <x:c r="H63" s="1"/>
      <x:c r="I63" s="1"/>
      <x:c r="J63" s="1"/>
      <x:c r="K63" s="1"/>
      <x:c r="L63" s="1"/>
      <x:c r="M63" s="1"/>
      <x:c r="N63" s="1"/>
      <x:c r="O63" s="1"/>
      <x:c r="P63" s="1"/>
    </x:row>
    <x:row r="64" ht="16.5">
      <x:c r="A64"/>
      <x:c r="B64" s="11"/>
      <x:c r="C64" s="1"/>
      <x:c r="D64" s="19"/>
      <x:c r="E64" s="19"/>
      <x:c r="F64" s="19"/>
      <x:c r="G64" s="1"/>
      <x:c r="H64" s="1"/>
      <x:c r="I64" s="1"/>
      <x:c r="J64" s="1"/>
      <x:c r="K64" s="1"/>
      <x:c r="L64" s="1"/>
      <x:c r="M64" s="1"/>
      <x:c r="N64" s="1"/>
      <x:c r="O64" s="1"/>
      <x:c r="P64" s="1"/>
    </x:row>
    <x:row r="65" ht="16.5">
      <x:c r="A65"/>
      <x:c r="B65" s="11"/>
      <x:c r="C65" s="1"/>
      <x:c r="D65" s="19"/>
      <x:c r="E65" s="19"/>
      <x:c r="F65" s="19"/>
      <x:c r="G65" s="1"/>
      <x:c r="H65" s="1"/>
      <x:c r="I65" s="1"/>
      <x:c r="J65" s="1"/>
      <x:c r="K65" s="1"/>
      <x:c r="L65" s="1"/>
      <x:c r="M65" s="1"/>
      <x:c r="N65" s="1"/>
      <x:c r="O65" s="1"/>
      <x:c r="P65" s="1"/>
    </x:row>
    <x:row r="66" ht="16.5">
      <x:c r="A66"/>
      <x:c r="B66" s="11"/>
      <x:c r="C66" s="1"/>
      <x:c r="D66" s="19"/>
      <x:c r="E66" s="19"/>
      <x:c r="F66" s="19"/>
      <x:c r="G66" s="1"/>
      <x:c r="H66" s="1"/>
      <x:c r="I66" s="1"/>
      <x:c r="J66" s="1"/>
      <x:c r="K66" s="1"/>
      <x:c r="L66" s="1"/>
      <x:c r="M66" s="1"/>
      <x:c r="N66" s="1"/>
      <x:c r="O66" s="1"/>
      <x:c r="P66" s="1"/>
    </x:row>
    <x:row r="67" ht="16.5">
      <x:c r="A67"/>
      <x:c r="B67" s="11"/>
      <x:c r="C67" s="1"/>
      <x:c r="D67" s="19"/>
      <x:c r="E67" s="19"/>
      <x:c r="F67" s="19"/>
      <x:c r="G67" s="1"/>
      <x:c r="H67" s="1"/>
      <x:c r="I67" s="1"/>
      <x:c r="J67" s="1"/>
      <x:c r="K67" s="1"/>
      <x:c r="L67" s="1"/>
      <x:c r="M67" s="1"/>
      <x:c r="N67" s="1"/>
      <x:c r="O67" s="1"/>
      <x:c r="P67" s="1"/>
    </x:row>
    <x:row r="68" ht="16.5">
      <x:c r="A68"/>
      <x:c r="B68" s="11"/>
      <x:c r="C68" s="1"/>
      <x:c r="D68" s="19"/>
      <x:c r="E68" s="19"/>
      <x:c r="F68" s="19"/>
      <x:c r="G68" s="1"/>
      <x:c r="H68" s="1"/>
      <x:c r="I68" s="1"/>
      <x:c r="J68" s="1"/>
      <x:c r="K68" s="1"/>
      <x:c r="L68" s="1"/>
      <x:c r="M68" s="1"/>
      <x:c r="N68" s="1"/>
      <x:c r="O68" s="1"/>
      <x:c r="P68" s="1"/>
    </x:row>
    <x:row r="69" ht="16.5">
      <x:c r="A69"/>
      <x:c r="B69" s="11"/>
      <x:c r="C69" s="1"/>
      <x:c r="D69" s="19"/>
      <x:c r="E69" s="19"/>
      <x:c r="F69" s="19"/>
      <x:c r="G69" s="1"/>
      <x:c r="H69" s="1"/>
      <x:c r="I69" s="1"/>
      <x:c r="J69" s="1"/>
      <x:c r="K69" s="1"/>
      <x:c r="L69" s="1"/>
      <x:c r="M69" s="1"/>
      <x:c r="N69" s="1"/>
      <x:c r="O69" s="1"/>
      <x:c r="P69" s="1"/>
    </x:row>
    <x:row r="70" ht="16.5">
      <x:c r="A70"/>
      <x:c r="B70" s="11"/>
      <x:c r="C70" s="1"/>
      <x:c r="D70" s="19"/>
      <x:c r="E70" s="19"/>
      <x:c r="F70" s="19"/>
      <x:c r="G70" s="1"/>
      <x:c r="H70" s="1"/>
      <x:c r="I70" s="1"/>
      <x:c r="J70" s="1"/>
      <x:c r="K70" s="1"/>
      <x:c r="L70" s="1"/>
      <x:c r="M70" s="1"/>
      <x:c r="N70" s="1"/>
      <x:c r="O70" s="1"/>
      <x:c r="P70" s="1"/>
    </x:row>
    <x:row r="71" ht="16.5">
      <x:c r="A71"/>
      <x:c r="B71" s="11"/>
      <x:c r="C71" s="1"/>
      <x:c r="D71" s="19"/>
      <x:c r="E71" s="19"/>
      <x:c r="F71" s="19"/>
      <x:c r="G71" s="1"/>
      <x:c r="H71" s="1"/>
      <x:c r="I71" s="1"/>
      <x:c r="J71" s="1"/>
      <x:c r="K71" s="1"/>
      <x:c r="L71" s="1"/>
      <x:c r="M71" s="1"/>
      <x:c r="N71" s="1"/>
      <x:c r="O71" s="1"/>
      <x:c r="P71" s="1"/>
    </x:row>
    <x:row r="72" ht="16.5">
      <x:c r="A72"/>
      <x:c r="B72" s="11"/>
      <x:c r="C72" s="1"/>
      <x:c r="D72" s="19"/>
      <x:c r="E72" s="19"/>
      <x:c r="F72" s="19"/>
      <x:c r="G72" s="1"/>
      <x:c r="H72" s="1"/>
      <x:c r="I72" s="1"/>
      <x:c r="J72" s="1"/>
      <x:c r="K72" s="1"/>
      <x:c r="L72" s="1"/>
      <x:c r="M72" s="1"/>
      <x:c r="N72" s="1"/>
      <x:c r="O72" s="1"/>
      <x:c r="P72" s="1"/>
    </x:row>
    <x:row r="73" ht="16.5">
      <x:c r="A73"/>
      <x:c r="B73" s="11"/>
      <x:c r="C73" s="1"/>
      <x:c r="D73" s="19"/>
      <x:c r="E73" s="19"/>
      <x:c r="F73" s="19"/>
      <x:c r="G73" s="1"/>
      <x:c r="H73" s="1"/>
      <x:c r="I73" s="1"/>
      <x:c r="J73" s="1"/>
      <x:c r="K73" s="1"/>
      <x:c r="L73" s="1"/>
      <x:c r="M73" s="1"/>
      <x:c r="N73" s="1"/>
      <x:c r="O73" s="1"/>
      <x:c r="P73" s="1"/>
    </x:row>
    <x:row r="74" ht="16.5">
      <x:c r="A74"/>
      <x:c r="B74" s="11"/>
      <x:c r="C74" s="1"/>
      <x:c r="D74" s="19"/>
      <x:c r="E74" s="19"/>
      <x:c r="F74" s="19"/>
      <x:c r="G74" s="1"/>
      <x:c r="H74" s="1"/>
      <x:c r="I74" s="1"/>
      <x:c r="J74" s="1"/>
      <x:c r="K74" s="1"/>
      <x:c r="L74" s="1"/>
      <x:c r="M74" s="1"/>
      <x:c r="N74" s="1"/>
      <x:c r="O74" s="1"/>
      <x:c r="P74" s="1"/>
    </x:row>
    <x:row r="75" ht="16.5">
      <x:c r="A75"/>
      <x:c r="B75" s="11"/>
      <x:c r="C75" s="1"/>
      <x:c r="D75" s="19"/>
      <x:c r="E75" s="19"/>
      <x:c r="F75" s="19"/>
      <x:c r="G75" s="1"/>
      <x:c r="H75" s="1"/>
      <x:c r="I75" s="1"/>
      <x:c r="J75" s="1"/>
      <x:c r="K75" s="1"/>
      <x:c r="L75" s="1"/>
      <x:c r="M75" s="1"/>
      <x:c r="N75" s="1"/>
      <x:c r="O75" s="1"/>
      <x:c r="P75" s="1"/>
    </x:row>
    <x:row r="76" ht="16.5">
      <x:c r="A76"/>
      <x:c r="B76" s="11"/>
      <x:c r="C76" s="1"/>
      <x:c r="D76" s="19"/>
      <x:c r="E76" s="19"/>
      <x:c r="F76" s="19"/>
      <x:c r="G76" s="1"/>
      <x:c r="H76" s="1"/>
      <x:c r="I76" s="1"/>
      <x:c r="J76" s="1"/>
      <x:c r="K76" s="1"/>
      <x:c r="L76" s="1"/>
      <x:c r="M76" s="1"/>
      <x:c r="N76" s="1"/>
      <x:c r="O76" s="1"/>
      <x:c r="P76" s="1"/>
    </x:row>
    <x:row r="77" ht="16.5">
      <x:c r="A77"/>
      <x:c r="B77" s="11"/>
      <x:c r="C77" s="1"/>
      <x:c r="D77" s="19"/>
      <x:c r="E77" s="19"/>
      <x:c r="F77" s="19"/>
      <x:c r="G77" s="1"/>
      <x:c r="H77" s="1"/>
      <x:c r="I77" s="1"/>
      <x:c r="J77" s="1"/>
      <x:c r="K77" s="1"/>
      <x:c r="L77" s="1"/>
      <x:c r="M77" s="1"/>
      <x:c r="N77" s="1"/>
      <x:c r="O77" s="1"/>
      <x:c r="P77" s="1"/>
    </x:row>
  </x:sheetData>
  <x:mergeCells>
    <x:mergeCell ref="H5:J5"/>
    <x:mergeCell ref="A3:O3"/>
  </x:mergeCells>
  <x:pageMargins left="0.7" right="0.7" top="0.75" bottom="0.75" header="0.3" footer="0.3"/>
  <x:drawing xmlns:r="http://schemas.openxmlformats.org/officeDocument/2006/relationships" r:id="R686d82e58f904cd0"/>
</x:worksheet>
</file>

<file path=xl/worksheets/sheet8.xml><?xml version="1.0" encoding="utf-8"?>
<x:worksheet xmlns:x="http://schemas.openxmlformats.org/spreadsheetml/2006/main">
  <x:sheetPr>
    <x:tabColor rgb="FFFFFF00"/>
  </x:sheetPr>
  <x:sheetFormatPr defaultRowHeight="15"/>
  <x:cols>
    <x:col min="1" max="1" width="16.42578125" customWidth="1"/>
    <x:col min="2" max="2" width="15.140625" customWidth="1"/>
    <x:col min="19" max="20" width="9.140625" customWidth="1"/>
  </x:cols>
  <x:sheetData>
    <x:row r="1" ht="49.5" customHeight="1">
      <x:c r="A1" s="149" t="s">
        <x:v>34</x:v>
      </x:c>
      <x:c r="B1" s="149"/>
      <x:c r="C1" s="149"/>
      <x:c r="D1" s="149"/>
      <x:c r="E1" s="149"/>
      <x:c r="F1" s="149"/>
      <x:c r="G1" s="149"/>
      <x:c r="H1" s="149"/>
      <x:c r="I1" s="149"/>
      <x:c r="J1" s="149"/>
      <x:c r="K1" s="149"/>
      <x:c r="L1" s="149"/>
      <x:c r="M1" s="149"/>
      <x:c r="N1" s="149"/>
      <x:c r="O1" s="149"/>
      <x:c r="P1" s="149"/>
      <x:c r="Q1" s="149"/>
      <x:c r="R1" s="149"/>
      <x:c r="S1" s="149"/>
      <x:c r="T1" s="149"/>
    </x:row>
    <x:row r="2" ht="42" customHeight="1">
      <x:c r="A2"/>
      <x:c r="B2"/>
      <x:c r="C2"/>
    </x:row>
    <x:row r="3" ht="22.5" customHeight="1">
      <x:c r="A3" s="144" t="s">
        <x:v>35</x:v>
      </x:c>
      <x:c r="B3" s="145"/>
      <x:c r="C3" s="146"/>
    </x:row>
    <x:row r="4" ht="17.25">
      <x:c r="A4" s="44"/>
      <x:c r="B4" s="45"/>
      <x:c r="C4" s="46"/>
    </x:row>
    <x:row r="5" ht="17.25">
      <x:c r="A5" s="71" t="s">
        <x:v>36</x:v>
      </x:c>
      <x:c r="B5" s="72" t="str">
        <x:f>IF('SHOP APRIL 2026 (2)'!B40="","",'SHOP APRIL 2026 (2)'!B40)</x:f>
      </x:c>
      <x:c r="C5" s="47" t="str">
        <x:f>IFERROR(B5/B7,"")</x:f>
      </x:c>
    </x:row>
    <x:row r="6" ht="18">
      <x:c r="A6" s="73" t="s">
        <x:v>37</x:v>
      </x:c>
      <x:c r="B6" s="74" t="str">
        <x:f>IF('THIRD PARTY APRIL 2026 (2)'!B39="","",'THIRD PARTY APRIL 2026 (2)'!B39)</x:f>
      </x:c>
      <x:c r="C6" s="47" t="str">
        <x:f>IFERROR(B6/B7,"")</x:f>
      </x:c>
    </x:row>
    <x:row r="7" ht="16.5">
      <x:c r="A7" s="43"/>
      <x:c r="B7" s="42" t="str">
        <x:f>IF(SUM(B5:B6)=0,"",SUM(B5:B6))</x:f>
      </x:c>
      <x:c r="C7" s="48" t="str">
        <x:f>IF(SUM(C5:C6)=0,"",SUM(C5:C6))</x:f>
      </x:c>
    </x:row>
  </x:sheetData>
  <x:mergeCells>
    <x:mergeCell ref="A3:C3"/>
    <x:mergeCell ref="A1:T1"/>
  </x:mergeCells>
  <x:pageMargins left="0.7" right="0.7" top="0.75" bottom="0.75" header="0.3" footer="0.3"/>
  <x:drawing xmlns:r="http://schemas.openxmlformats.org/officeDocument/2006/relationships" r:id="R2d43bc6d7eea4192"/>
</x:worksheet>
</file>

<file path=xl/worksheets/sheet9.xml><?xml version="1.0" encoding="utf-8"?>
<x:worksheet xmlns:x="http://schemas.openxmlformats.org/spreadsheetml/2006/main">
  <x:sheetPr>
    <x:tabColor rgb="FFFF0000"/>
  </x:sheetPr>
  <x:sheetFormatPr defaultRowHeight="15"/>
  <x:cols>
    <x:col min="1" max="1" width="23.28515625" style="14" customWidth="1"/>
    <x:col min="2" max="2" width="15.5703125" style="6" customWidth="1"/>
    <x:col min="3" max="3" width="19" customWidth="1"/>
    <x:col min="4" max="4" width="13.85546875" style="20" customWidth="1"/>
    <x:col min="5" max="5" width="20.5703125" style="20" customWidth="1"/>
    <x:col min="6" max="6" width="13.85546875" style="8" customWidth="1"/>
    <x:col min="7" max="7" width="13.85546875" style="9" customWidth="1"/>
    <x:col min="9" max="9" width="17" customWidth="1"/>
    <x:col min="10" max="10" width="13.140625" customWidth="1"/>
    <x:col min="11" max="11" width="9.140625" customWidth="1"/>
  </x:cols>
  <x:sheetData>
    <x:row r="2" ht="18">
      <x:c r="A2" s="16" t="str">
        <x:v>DAILY SALES (6B)  - MAY 2026</x:v>
      </x:c>
      <x:c r="B2" s="16"/>
      <x:c r="C2" s="16"/>
      <x:c r="D2" s="18"/>
      <x:c r="E2" s="18"/>
      <x:c r="F2" s="16"/>
      <x:c r="G2" s="18"/>
      <x:c r="H2" s="16"/>
      <x:c r="I2" s="16"/>
      <x:c r="J2" s="16"/>
      <x:c r="K2" s="16"/>
      <x:c r="L2" s="16"/>
      <x:c r="M2" s="16"/>
      <x:c r="N2" s="16"/>
      <x:c r="O2" s="16"/>
      <x:c r="P2" s="16"/>
    </x:row>
    <x:row r="3" ht="18">
      <x:c r="B3" s="24"/>
      <x:c r="C3" s="24"/>
      <x:c r="D3" s="18"/>
      <x:c r="E3" s="18"/>
      <x:c r="F3" s="24"/>
      <x:c r="G3" s="24"/>
      <x:c r="H3" s="24"/>
      <x:c r="I3" s="24"/>
      <x:c r="J3" s="24"/>
      <x:c r="K3" s="24"/>
      <x:c r="L3" s="24"/>
      <x:c r="M3" s="24"/>
      <x:c r="N3" s="24"/>
      <x:c r="O3" s="24"/>
      <x:c r="P3" s="24"/>
    </x:row>
    <x:row r="4" ht="16.5">
      <x:c r="B4" s="11"/>
      <x:c r="C4" s="1"/>
      <x:c r="D4" s="19"/>
      <x:c r="E4" s="19"/>
      <x:c r="F4" s="12"/>
      <x:c r="G4" s="13"/>
      <x:c r="H4" s="1"/>
      <x:c r="I4" s="1"/>
      <x:c r="J4" s="1"/>
      <x:c r="K4" s="1"/>
      <x:c r="L4" s="1"/>
      <x:c r="M4" s="1"/>
      <x:c r="N4" s="1"/>
      <x:c r="O4" s="1"/>
      <x:c r="P4" s="1"/>
    </x:row>
    <x:row r="5" ht="16.5">
      <x:c r="A5" s="21" t="s">
        <x:v>21</x:v>
      </x:c>
      <x:c r="B5" s="22" t="s">
        <x:v>22</x:v>
      </x:c>
      <x:c r="C5" s="106" t="s">
        <x:v>23</x:v>
      </x:c>
      <x:c r="D5" s="139" t="s">
        <x:v>24</x:v>
      </x:c>
      <x:c r="E5" s="140"/>
      <x:c r="F5" s="139" t="s">
        <x:v>25</x:v>
      </x:c>
      <x:c r="G5" s="141"/>
      <x:c r="H5" s="2"/>
      <x:c r="I5" s="135" t="s">
        <x:v>26</x:v>
      </x:c>
      <x:c r="J5" s="135"/>
      <x:c r="K5" s="135"/>
      <x:c r="L5" s="1"/>
      <x:c r="M5" s="1"/>
      <x:c r="N5" s="1"/>
      <x:c r="O5" s="1"/>
      <x:c r="P5" s="1"/>
    </x:row>
    <x:row r="6" ht="16.5">
      <x:c r="A6" s="21"/>
      <x:c r="B6" s="22"/>
      <x:c r="C6" s="23"/>
      <x:c r="D6" s="26" t="s">
        <x:v>27</x:v>
      </x:c>
      <x:c r="E6" s="26" t="s">
        <x:v>28</x:v>
      </x:c>
      <x:c r="F6" s="26" t="s">
        <x:v>29</x:v>
      </x:c>
      <x:c r="G6" s="26" t="s">
        <x:v>30</x:v>
      </x:c>
      <x:c r="H6" s="2"/>
      <x:c r="I6" s="17"/>
      <x:c r="J6" s="17"/>
      <x:c r="K6" s="17"/>
      <x:c r="L6" s="1"/>
      <x:c r="M6" s="1"/>
      <x:c r="N6" s="1"/>
      <x:c r="O6" s="1"/>
      <x:c r="P6" s="1"/>
    </x:row>
    <x:row r="7" ht="16.5">
      <x:c r="A7" s="15"/>
      <x:c r="B7" s="7"/>
      <x:c r="C7" s="5"/>
      <x:c r="D7" s="17"/>
      <x:c r="E7" s="17"/>
      <x:c r="F7" s="17"/>
      <x:c r="G7" s="17"/>
      <x:c r="H7" s="2"/>
      <x:c r="I7" s="17"/>
      <x:c r="J7" s="17"/>
      <x:c r="K7" s="17"/>
      <x:c r="L7" s="1"/>
      <x:c r="M7" s="1"/>
      <x:c r="N7" s="1"/>
      <x:c r="O7" s="1"/>
      <x:c r="P7" s="1"/>
    </x:row>
    <x:row r="8" ht="16.5">
      <x:c r="A8" s="171" t="n">
        <x:v>46143</x:v>
      </x:c>
      <x:c r="B8" s="52" t="str">
        <x:f>IF(SUM(C8:G8)=0,"",SUM(C8:G8))</x:f>
      </x:c>
      <x:c r="C8" s="53"/>
      <x:c r="D8" s="54"/>
      <x:c r="E8" s="54"/>
      <x:c r="F8" s="53" t="str">
        <x:f>IF('RETAIL &amp; PRINT'!G11="","",'RETAIL &amp; PRINT'!G11)</x:f>
      </x:c>
      <x:c r="G8" s="53" t="str">
        <x:f>IF(F8="","",F8*10%)</x:f>
      </x:c>
      <x:c r="H8" s="1"/>
      <x:c r="I8" s="3" t="str">
        <x:f>C5</x:f>
        <x:v>Footwear</x:v>
      </x:c>
      <x:c r="J8" s="10" t="str">
        <x:f>IF(C39="","",C39)</x:f>
      </x:c>
      <x:c r="K8" s="4" t="str">
        <x:f>IFERROR(C39/B40,"")</x:f>
      </x:c>
      <x:c r="L8" s="1"/>
      <x:c r="M8" s="1"/>
      <x:c r="N8" s="1"/>
      <x:c r="O8" s="1"/>
      <x:c r="P8" s="1"/>
    </x:row>
    <x:row r="9" ht="16.5">
      <x:c r="A9" s="171" t="n">
        <x:v>46144</x:v>
      </x:c>
      <x:c r="B9" s="52" t="str">
        <x:f t="shared" ref="B9:B38" si="0">IF(SUM(C9:G9)=0,"",SUM(C9:G9))</x:f>
      </x:c>
      <x:c r="C9" s="53"/>
      <x:c r="D9" s="54"/>
      <x:c r="E9" s="54"/>
      <x:c r="F9" s="53" t="str">
        <x:f>IF('RETAIL &amp; PRINT'!G12="","",'RETAIL &amp; PRINT'!G12)</x:f>
      </x:c>
      <x:c r="G9" s="53" t="str">
        <x:f t="shared" ref="G9:G38" si="1">IF(F9="","",F9*10%)</x:f>
      </x:c>
      <x:c r="H9" s="1"/>
      <x:c r="I9" s="3" t="str">
        <x:f>D5</x:f>
        <x:v>Deep Cleaning</x:v>
      </x:c>
      <x:c r="J9" s="10" t="str">
        <x:f>IF(D40="","",D40)</x:f>
      </x:c>
      <x:c r="K9" s="4" t="str">
        <x:f>IFERROR(D40/$B$40,"")</x:f>
      </x:c>
      <x:c r="L9" s="1"/>
      <x:c r="M9" s="1"/>
      <x:c r="N9" s="1"/>
      <x:c r="O9" s="1"/>
      <x:c r="P9" s="1"/>
    </x:row>
    <x:row r="10" ht="16.5">
      <x:c r="A10" s="171" t="n">
        <x:v>46145</x:v>
      </x:c>
      <x:c r="B10" s="52" t="str">
        <x:f t="shared" si="0">IF(SUM(C10:G10)=0,"",SUM(C10:G10))</x:f>
      </x:c>
      <x:c r="C10" s="53"/>
      <x:c r="D10" s="54"/>
      <x:c r="E10" s="54"/>
      <x:c r="F10" s="53" t="str">
        <x:f>IF('RETAIL &amp; PRINT'!G13="","",'RETAIL &amp; PRINT'!G13)</x:f>
      </x:c>
      <x:c r="G10" s="53" t="str">
        <x:f t="shared" si="1">IF(F10="","",F10*10%)</x:f>
      </x:c>
      <x:c r="H10" s="1"/>
      <x:c r="I10" s="3" t="str">
        <x:f>F5</x:f>
        <x:v>Print &amp; Retail</x:v>
      </x:c>
      <x:c r="J10" s="10" t="str">
        <x:f>IF(F40="","",F40)</x:f>
      </x:c>
      <x:c r="K10" s="4" t="str">
        <x:f>IFERROR(SUM(F39:G39)/B40,"")</x:f>
      </x:c>
      <x:c r="L10" s="1"/>
      <x:c r="M10" s="1"/>
      <x:c r="N10" s="1"/>
      <x:c r="O10" s="1"/>
      <x:c r="P10" s="1"/>
    </x:row>
    <x:row r="11" ht="16.5">
      <x:c r="A11" s="171" t="n">
        <x:v>46146</x:v>
      </x:c>
      <x:c r="B11" s="52" t="str">
        <x:f t="shared" si="0">IF(SUM(C11:G11)=0,"",SUM(C11:G11))</x:f>
      </x:c>
      <x:c r="C11" s="53"/>
      <x:c r="D11" s="54"/>
      <x:c r="E11" s="54"/>
      <x:c r="F11" s="53" t="str">
        <x:f>IF('RETAIL &amp; PRINT'!G14="","",'RETAIL &amp; PRINT'!G14)</x:f>
      </x:c>
      <x:c r="G11" s="53" t="str">
        <x:f t="shared" si="1">IF(F11="","",F11*10%)</x:f>
      </x:c>
      <x:c r="H11" s="1"/>
      <x:c r="I11" s="3"/>
      <x:c r="J11" s="10"/>
      <x:c r="K11" s="4"/>
      <x:c r="L11" s="1"/>
      <x:c r="M11" s="1"/>
      <x:c r="N11" s="1"/>
      <x:c r="O11" s="1"/>
      <x:c r="P11" s="1"/>
    </x:row>
    <x:row r="12" ht="16.5">
      <x:c r="A12" s="171" t="n">
        <x:v>46147</x:v>
      </x:c>
      <x:c r="B12" s="52" t="str">
        <x:f t="shared" si="0">IF(SUM(C12:G12)=0,"",SUM(C12:G12))</x:f>
      </x:c>
      <x:c r="C12" s="99"/>
      <x:c r="D12" s="100"/>
      <x:c r="E12" s="100"/>
      <x:c r="F12" s="53" t="str">
        <x:f>IF('RETAIL &amp; PRINT'!G15="","",'RETAIL &amp; PRINT'!G15)</x:f>
      </x:c>
      <x:c r="G12" s="53" t="str">
        <x:f t="shared" si="1">IF(F12="","",F12*10%)</x:f>
      </x:c>
      <x:c r="H12" s="1"/>
      <x:c r="I12" s="3"/>
      <x:c r="J12" s="10" t="str">
        <x:f>IF(SUM(J8:J11)=0,"",SUM(J8:J11))</x:f>
      </x:c>
      <x:c r="K12" s="4" t="str">
        <x:f>IF(SUM(K8:K11)=0,"",SUM(K8:K11))</x:f>
      </x:c>
      <x:c r="L12" s="1"/>
      <x:c r="M12" s="1"/>
      <x:c r="N12" s="1"/>
      <x:c r="O12" s="1"/>
      <x:c r="P12" s="1"/>
    </x:row>
    <x:row r="13" ht="16.5">
      <x:c r="A13" s="171" t="n">
        <x:v>46148</x:v>
      </x:c>
      <x:c r="B13" s="52" t="str">
        <x:f t="shared" si="0">IF(SUM(C13:G13)=0,"",SUM(C13:G13))</x:f>
      </x:c>
      <x:c r="C13" s="99"/>
      <x:c r="D13" s="100"/>
      <x:c r="E13" s="100"/>
      <x:c r="F13" s="53" t="str">
        <x:f>IF('RETAIL &amp; PRINT'!G16="","",'RETAIL &amp; PRINT'!G16)</x:f>
      </x:c>
      <x:c r="G13" s="53" t="str">
        <x:f t="shared" si="1">IF(F13="","",F13*10%)</x:f>
      </x:c>
      <x:c r="H13" s="1"/>
      <x:c r="I13" s="1"/>
      <x:c r="J13" s="1"/>
      <x:c r="K13" s="1"/>
      <x:c r="L13" s="1"/>
      <x:c r="M13" s="1"/>
      <x:c r="N13" s="1"/>
      <x:c r="O13" s="1"/>
      <x:c r="P13" s="1"/>
    </x:row>
    <x:row r="14" ht="16.5">
      <x:c r="A14" s="171" t="n">
        <x:v>46149</x:v>
      </x:c>
      <x:c r="B14" s="52" t="str">
        <x:f t="shared" si="0">IF(SUM(C14:G14)=0,"",SUM(C14:G14))</x:f>
      </x:c>
      <x:c r="C14" s="99"/>
      <x:c r="D14" s="100"/>
      <x:c r="E14" s="100"/>
      <x:c r="F14" s="53" t="str">
        <x:f>IF('RETAIL &amp; PRINT'!G17="","",'RETAIL &amp; PRINT'!G17)</x:f>
      </x:c>
      <x:c r="G14" s="53" t="str">
        <x:f t="shared" si="1">IF(F14="","",F14*10%)</x:f>
      </x:c>
      <x:c r="H14" s="1"/>
      <x:c r="I14" s="1"/>
      <x:c r="J14" s="27"/>
      <x:c r="K14" s="28"/>
      <x:c r="L14" s="1"/>
      <x:c r="M14" s="1"/>
      <x:c r="N14" s="1"/>
      <x:c r="O14" s="1"/>
      <x:c r="P14" s="1"/>
    </x:row>
    <x:row r="15" ht="16.5">
      <x:c r="A15" s="171" t="n">
        <x:v>46150</x:v>
      </x:c>
      <x:c r="B15" s="52" t="str">
        <x:f t="shared" si="0">IF(SUM(C15:G15)=0,"",SUM(C15:G15))</x:f>
      </x:c>
      <x:c r="C15" s="99"/>
      <x:c r="D15" s="100"/>
      <x:c r="E15" s="100"/>
      <x:c r="F15" s="53" t="str">
        <x:f>IF('RETAIL &amp; PRINT'!G18="","",'RETAIL &amp; PRINT'!G18)</x:f>
      </x:c>
      <x:c r="G15" s="53" t="str">
        <x:f>IF(F15="","",F15*10%)</x:f>
      </x:c>
      <x:c r="H15" s="1"/>
      <x:c r="I15" s="1"/>
      <x:c r="J15" s="1"/>
      <x:c r="K15" s="1"/>
      <x:c r="L15" s="1"/>
      <x:c r="M15" s="1"/>
      <x:c r="N15" s="1"/>
      <x:c r="O15" s="1"/>
      <x:c r="P15" s="1"/>
    </x:row>
    <x:row r="16" ht="16.5">
      <x:c r="A16" s="171" t="n">
        <x:v>46151</x:v>
      </x:c>
      <x:c r="B16" s="52" t="str">
        <x:f t="shared" si="0">IF(SUM(C16:G16)=0,"",SUM(C16:G16))</x:f>
      </x:c>
      <x:c r="C16" s="99"/>
      <x:c r="D16" s="100"/>
      <x:c r="E16" s="100"/>
      <x:c r="F16" s="53" t="str">
        <x:f>IF('RETAIL &amp; PRINT'!G19="","",'RETAIL &amp; PRINT'!G19)</x:f>
      </x:c>
      <x:c r="G16" s="53" t="str">
        <x:f t="shared" si="1">IF(F16="","",F16*10%)</x:f>
      </x:c>
      <x:c r="H16" s="1"/>
      <x:c r="I16" s="1"/>
      <x:c r="J16" s="1"/>
      <x:c r="K16" s="1"/>
      <x:c r="L16" s="1"/>
      <x:c r="M16" s="1"/>
      <x:c r="N16" s="1"/>
      <x:c r="O16" s="1"/>
      <x:c r="P16" s="1"/>
    </x:row>
    <x:row r="17" ht="16.5">
      <x:c r="A17" s="171" t="n">
        <x:v>46152</x:v>
      </x:c>
      <x:c r="B17" s="52" t="str">
        <x:f t="shared" si="0">IF(SUM(C17:G17)=0,"",SUM(C17:G17))</x:f>
      </x:c>
      <x:c r="C17" s="99"/>
      <x:c r="D17" s="100"/>
      <x:c r="E17" s="100"/>
      <x:c r="F17" s="53" t="str">
        <x:f>IF('RETAIL &amp; PRINT'!G20="","",'RETAIL &amp; PRINT'!G20)</x:f>
      </x:c>
      <x:c r="G17" s="53" t="str">
        <x:f t="shared" si="1">IF(F17="","",F17*10%)</x:f>
      </x:c>
      <x:c r="H17" s="1"/>
      <x:c r="I17" s="1"/>
      <x:c r="J17" s="1"/>
      <x:c r="K17" s="1"/>
      <x:c r="L17" s="1"/>
      <x:c r="M17" s="1"/>
      <x:c r="N17" s="1"/>
      <x:c r="O17" s="1"/>
      <x:c r="P17" s="1"/>
    </x:row>
    <x:row r="18" ht="16.5">
      <x:c r="A18" s="171" t="n">
        <x:v>46153</x:v>
      </x:c>
      <x:c r="B18" s="52" t="str">
        <x:f t="shared" si="0">IF(SUM(C18:G18)=0,"",SUM(C18:G18))</x:f>
      </x:c>
      <x:c r="C18" s="99"/>
      <x:c r="D18" s="100"/>
      <x:c r="E18" s="100"/>
      <x:c r="F18" s="53" t="str">
        <x:f>IF('RETAIL &amp; PRINT'!G21="","",'RETAIL &amp; PRINT'!G21)</x:f>
      </x:c>
      <x:c r="G18" s="53" t="str">
        <x:f t="shared" si="1">IF(F18="","",F18*10%)</x:f>
      </x:c>
      <x:c r="H18" s="1"/>
      <x:c r="I18" s="1"/>
      <x:c r="J18" s="1"/>
      <x:c r="K18" s="1"/>
      <x:c r="L18" s="1"/>
      <x:c r="M18" s="1"/>
      <x:c r="N18" s="1"/>
      <x:c r="O18" s="1"/>
      <x:c r="P18" s="1"/>
    </x:row>
    <x:row r="19" ht="16.5">
      <x:c r="A19" s="171" t="n">
        <x:v>46154</x:v>
      </x:c>
      <x:c r="B19" s="52" t="str">
        <x:f t="shared" si="0">IF(SUM(C19:G19)=0,"",SUM(C19:G19))</x:f>
      </x:c>
      <x:c r="C19" s="99"/>
      <x:c r="D19" s="100"/>
      <x:c r="E19" s="100"/>
      <x:c r="F19" s="53" t="str">
        <x:f>IF('RETAIL &amp; PRINT'!G22="","",'RETAIL &amp; PRINT'!G22)</x:f>
      </x:c>
      <x:c r="G19" s="53" t="str">
        <x:f t="shared" si="1">IF(F19="","",F19*10%)</x:f>
      </x:c>
      <x:c r="H19" s="1"/>
      <x:c r="I19" s="1"/>
      <x:c r="J19" s="1"/>
      <x:c r="K19" s="1"/>
      <x:c r="L19" s="1"/>
      <x:c r="M19" s="1"/>
      <x:c r="N19" s="1"/>
      <x:c r="O19" s="1"/>
      <x:c r="P19" s="1"/>
    </x:row>
    <x:row r="20" ht="16.5">
      <x:c r="A20" s="171" t="n">
        <x:v>46155</x:v>
      </x:c>
      <x:c r="B20" s="52" t="str">
        <x:f t="shared" si="0">IF(SUM(C20:G20)=0,"",SUM(C20:G20))</x:f>
      </x:c>
      <x:c r="C20" s="99"/>
      <x:c r="D20" s="100"/>
      <x:c r="E20" s="100"/>
      <x:c r="F20" s="53" t="str">
        <x:f>IF('RETAIL &amp; PRINT'!G23="","",'RETAIL &amp; PRINT'!G23)</x:f>
      </x:c>
      <x:c r="G20" s="53" t="str">
        <x:f t="shared" si="1">IF(F20="","",F20*10%)</x:f>
      </x:c>
      <x:c r="H20" s="1"/>
      <x:c r="I20" s="1"/>
      <x:c r="J20" s="1"/>
      <x:c r="K20" s="1"/>
      <x:c r="L20" s="1"/>
      <x:c r="M20" s="1"/>
      <x:c r="N20" s="1"/>
      <x:c r="O20" s="1"/>
      <x:c r="P20" s="1"/>
    </x:row>
    <x:row r="21" ht="16.5">
      <x:c r="A21" s="171" t="n">
        <x:v>46156</x:v>
      </x:c>
      <x:c r="B21" s="52" t="str">
        <x:f t="shared" si="0">IF(SUM(C21:G21)=0,"",SUM(C21:G21))</x:f>
      </x:c>
      <x:c r="C21" s="99"/>
      <x:c r="D21" s="100"/>
      <x:c r="E21" s="100"/>
      <x:c r="F21" s="53" t="str">
        <x:f>IF('RETAIL &amp; PRINT'!G24="","",'RETAIL &amp; PRINT'!G24)</x:f>
      </x:c>
      <x:c r="G21" s="53" t="str">
        <x:f t="shared" si="1">IF(F21="","",F21*10%)</x:f>
      </x:c>
      <x:c r="H21" s="1"/>
      <x:c r="I21" s="1"/>
      <x:c r="J21" s="1"/>
      <x:c r="K21" s="1"/>
      <x:c r="L21" s="1"/>
      <x:c r="M21" s="1"/>
      <x:c r="N21" s="1"/>
      <x:c r="O21" s="1"/>
      <x:c r="P21" s="1"/>
    </x:row>
    <x:row r="22" ht="16.5">
      <x:c r="A22" s="171" t="n">
        <x:v>46157</x:v>
      </x:c>
      <x:c r="B22" s="52" t="str">
        <x:f t="shared" si="0">IF(SUM(C22:G22)=0,"",SUM(C22:G22))</x:f>
      </x:c>
      <x:c r="C22" s="99"/>
      <x:c r="D22" s="100"/>
      <x:c r="E22" s="100"/>
      <x:c r="F22" s="53" t="str">
        <x:f>IF('RETAIL &amp; PRINT'!G25="","",'RETAIL &amp; PRINT'!G25)</x:f>
      </x:c>
      <x:c r="G22" s="53" t="str">
        <x:f t="shared" si="1">IF(F22="","",F22*10%)</x:f>
      </x:c>
      <x:c r="H22" s="1"/>
      <x:c r="I22" s="1"/>
      <x:c r="J22" s="1"/>
      <x:c r="K22" s="1"/>
      <x:c r="L22" s="1"/>
      <x:c r="M22" s="1"/>
      <x:c r="N22" s="1"/>
      <x:c r="O22" s="1"/>
      <x:c r="P22" s="1"/>
    </x:row>
    <x:row r="23" ht="16.5">
      <x:c r="A23" s="171" t="n">
        <x:v>46158</x:v>
      </x:c>
      <x:c r="B23" s="52" t="str">
        <x:f t="shared" si="0">IF(SUM(C23:G23)=0,"",SUM(C23:G23))</x:f>
      </x:c>
      <x:c r="C23" s="99"/>
      <x:c r="D23" s="100"/>
      <x:c r="E23" s="100"/>
      <x:c r="F23" s="53" t="str">
        <x:f>IF('RETAIL &amp; PRINT'!G26="","",'RETAIL &amp; PRINT'!G26)</x:f>
      </x:c>
      <x:c r="G23" s="53" t="str">
        <x:f t="shared" si="1">IF(F23="","",F23*10%)</x:f>
      </x:c>
      <x:c r="H23" s="1"/>
      <x:c r="I23" s="1"/>
      <x:c r="J23" s="1"/>
      <x:c r="K23" s="1"/>
      <x:c r="L23" s="1"/>
      <x:c r="M23" s="1"/>
      <x:c r="N23" s="1"/>
      <x:c r="O23" s="1"/>
      <x:c r="P23" s="1"/>
    </x:row>
    <x:row r="24" ht="16.5">
      <x:c r="A24" s="171" t="n">
        <x:v>46159</x:v>
      </x:c>
      <x:c r="B24" s="52" t="str">
        <x:f t="shared" si="0">IF(SUM(C24:G24)=0,"",SUM(C24:G24))</x:f>
      </x:c>
      <x:c r="C24" s="99"/>
      <x:c r="D24" s="100"/>
      <x:c r="E24" s="100"/>
      <x:c r="F24" s="53" t="str">
        <x:f>IF('RETAIL &amp; PRINT'!G27="","",'RETAIL &amp; PRINT'!G27)</x:f>
      </x:c>
      <x:c r="G24" s="53" t="str">
        <x:f t="shared" si="1">IF(F24="","",F24*10%)</x:f>
      </x:c>
      <x:c r="H24" s="1"/>
      <x:c r="I24" s="1"/>
      <x:c r="J24" s="1"/>
      <x:c r="K24" s="1"/>
      <x:c r="L24" s="1"/>
      <x:c r="M24" s="1"/>
      <x:c r="N24" s="1"/>
      <x:c r="O24" s="1"/>
      <x:c r="P24" s="1"/>
    </x:row>
    <x:row r="25" ht="16.5">
      <x:c r="A25" s="171" t="n">
        <x:v>46160</x:v>
      </x:c>
      <x:c r="B25" s="52" t="str">
        <x:f t="shared" si="0">IF(SUM(C25:G25)=0,"",SUM(C25:G25))</x:f>
      </x:c>
      <x:c r="C25" s="99"/>
      <x:c r="D25" s="100"/>
      <x:c r="E25" s="100"/>
      <x:c r="F25" s="53" t="str">
        <x:f>IF('RETAIL &amp; PRINT'!G28="","",'RETAIL &amp; PRINT'!G28)</x:f>
      </x:c>
      <x:c r="G25" s="53" t="str">
        <x:f t="shared" si="1">IF(F25="","",F25*10%)</x:f>
      </x:c>
      <x:c r="H25" s="1"/>
      <x:c r="I25" s="34"/>
      <x:c r="J25" s="34"/>
      <x:c r="K25" s="34"/>
      <x:c r="L25" s="1"/>
      <x:c r="M25" s="1"/>
      <x:c r="N25" s="1"/>
      <x:c r="O25" s="1"/>
      <x:c r="P25" s="1"/>
    </x:row>
    <x:row r="26" ht="16.5">
      <x:c r="A26" s="171" t="n">
        <x:v>46161</x:v>
      </x:c>
      <x:c r="B26" s="52" t="str">
        <x:f t="shared" si="0">IF(SUM(C26:G26)=0,"",SUM(C26:G26))</x:f>
      </x:c>
      <x:c r="C26" s="99"/>
      <x:c r="D26" s="100"/>
      <x:c r="E26" s="100"/>
      <x:c r="F26" s="53" t="str">
        <x:f>IF('RETAIL &amp; PRINT'!G29="","",'RETAIL &amp; PRINT'!G29)</x:f>
      </x:c>
      <x:c r="G26" s="53" t="str">
        <x:f t="shared" si="1">IF(F26="","",F26*10%)</x:f>
      </x:c>
      <x:c r="H26" s="1"/>
      <x:c r="I26" s="33"/>
      <x:c r="J26" s="33"/>
      <x:c r="K26" s="33"/>
      <x:c r="L26" s="1"/>
      <x:c r="M26" s="1"/>
      <x:c r="N26" s="1"/>
      <x:c r="O26" s="1"/>
      <x:c r="P26" s="1"/>
    </x:row>
    <x:row r="27" ht="16.5">
      <x:c r="A27" s="171" t="n">
        <x:v>46162</x:v>
      </x:c>
      <x:c r="B27" s="52" t="str">
        <x:f t="shared" si="0">IF(SUM(C27:G27)=0,"",SUM(C27:G27))</x:f>
      </x:c>
      <x:c r="C27" s="99"/>
      <x:c r="D27" s="100"/>
      <x:c r="E27" s="100"/>
      <x:c r="F27" s="53" t="str">
        <x:f>IF('RETAIL &amp; PRINT'!G30="","",'RETAIL &amp; PRINT'!G30)</x:f>
      </x:c>
      <x:c r="G27" s="53" t="str">
        <x:f t="shared" si="1">IF(F27="","",F27*10%)</x:f>
      </x:c>
      <x:c r="H27" s="1"/>
      <x:c r="I27" s="34"/>
      <x:c r="J27" s="35"/>
      <x:c r="K27" s="36"/>
      <x:c r="L27" s="1"/>
      <x:c r="M27" s="1"/>
      <x:c r="N27" s="1"/>
      <x:c r="O27" s="1"/>
      <x:c r="P27" s="1"/>
    </x:row>
    <x:row r="28" ht="16.5">
      <x:c r="A28" s="171" t="n">
        <x:v>46163</x:v>
      </x:c>
      <x:c r="B28" s="52" t="str">
        <x:f t="shared" si="0">IF(SUM(C28:G28)=0,"",SUM(C28:G28))</x:f>
      </x:c>
      <x:c r="C28" s="99"/>
      <x:c r="D28" s="100"/>
      <x:c r="E28" s="100"/>
      <x:c r="F28" s="53" t="str">
        <x:f>IF('RETAIL &amp; PRINT'!G31="","",'RETAIL &amp; PRINT'!G31)</x:f>
      </x:c>
      <x:c r="G28" s="53" t="str">
        <x:f t="shared" si="1">IF(F28="","",F28*10%)</x:f>
      </x:c>
      <x:c r="H28" s="1"/>
      <x:c r="I28" s="34"/>
      <x:c r="J28" s="37"/>
      <x:c r="K28" s="36"/>
      <x:c r="L28" s="1"/>
      <x:c r="M28" s="1"/>
      <x:c r="N28" s="1"/>
      <x:c r="O28" s="1"/>
      <x:c r="P28" s="1"/>
    </x:row>
    <x:row r="29" ht="16.5">
      <x:c r="A29" s="171" t="n">
        <x:v>46164</x:v>
      </x:c>
      <x:c r="B29" s="52" t="str">
        <x:f t="shared" si="0">IF(SUM(C29:G29)=0,"",SUM(C29:G29))</x:f>
      </x:c>
      <x:c r="C29" s="99"/>
      <x:c r="D29" s="103"/>
      <x:c r="E29" s="103"/>
      <x:c r="F29" s="53" t="str">
        <x:f>IF('RETAIL &amp; PRINT'!G32="","",'RETAIL &amp; PRINT'!G32)</x:f>
      </x:c>
      <x:c r="G29" s="53" t="str">
        <x:f t="shared" si="1">IF(F29="","",F29*10%)</x:f>
      </x:c>
      <x:c r="H29" s="1"/>
      <x:c r="I29" s="1"/>
      <x:c r="J29" s="29"/>
      <x:c r="K29" s="30"/>
      <x:c r="L29" s="1"/>
      <x:c r="M29" s="1"/>
      <x:c r="N29" s="1"/>
      <x:c r="O29" s="1"/>
      <x:c r="P29" s="1"/>
    </x:row>
    <x:row r="30" ht="16.5">
      <x:c r="A30" s="171" t="n">
        <x:v>46165</x:v>
      </x:c>
      <x:c r="B30" s="52" t="str">
        <x:f t="shared" si="0">IF(SUM(C30:G30)=0,"",SUM(C30:G30))</x:f>
      </x:c>
      <x:c r="C30" s="99"/>
      <x:c r="D30" s="100"/>
      <x:c r="E30" s="100"/>
      <x:c r="F30" s="53" t="str">
        <x:f>IF('RETAIL &amp; PRINT'!G33="","",'RETAIL &amp; PRINT'!G33)</x:f>
      </x:c>
      <x:c r="G30" s="53" t="str">
        <x:f t="shared" si="1">IF(F30="","",F30*10%)</x:f>
      </x:c>
      <x:c r="H30" s="1"/>
      <x:c r="I30" s="1"/>
      <x:c r="J30" s="31"/>
      <x:c r="K30" s="30"/>
      <x:c r="L30" s="1"/>
      <x:c r="M30" s="1"/>
      <x:c r="N30" s="1"/>
      <x:c r="O30" s="1"/>
      <x:c r="P30" s="1"/>
    </x:row>
    <x:row r="31" ht="16.5">
      <x:c r="A31" s="171" t="n">
        <x:v>46166</x:v>
      </x:c>
      <x:c r="B31" s="52" t="str">
        <x:f t="shared" si="0">IF(SUM(C31:G31)=0,"",SUM(C31:G31))</x:f>
      </x:c>
      <x:c r="C31" s="99"/>
      <x:c r="D31" s="100"/>
      <x:c r="E31" s="100"/>
      <x:c r="F31" s="53" t="str">
        <x:f>IF('RETAIL &amp; PRINT'!G34="","",'RETAIL &amp; PRINT'!G34)</x:f>
      </x:c>
      <x:c r="G31" s="53" t="str">
        <x:f t="shared" si="1">IF(F31="","",F31*10%)</x:f>
      </x:c>
      <x:c r="I31" s="1"/>
      <x:c r="J31" s="29"/>
      <x:c r="K31" s="30"/>
      <x:c r="L31" s="1"/>
      <x:c r="M31" s="1"/>
      <x:c r="N31" s="1"/>
      <x:c r="O31" s="1"/>
      <x:c r="P31" s="1"/>
    </x:row>
    <x:row r="32" ht="16.5">
      <x:c r="A32" s="171" t="n">
        <x:v>46167</x:v>
      </x:c>
      <x:c r="B32" s="52" t="str">
        <x:f t="shared" si="0">IF(SUM(C32:G32)=0,"",SUM(C32:G32))</x:f>
      </x:c>
      <x:c r="C32" s="99"/>
      <x:c r="D32" s="100"/>
      <x:c r="E32" s="100"/>
      <x:c r="F32" s="53" t="str">
        <x:f>IF('RETAIL &amp; PRINT'!G35="","",'RETAIL &amp; PRINT'!G35)</x:f>
      </x:c>
      <x:c r="G32" s="53" t="str">
        <x:f t="shared" si="1">IF(F32="","",F32*10%)</x:f>
      </x:c>
      <x:c r="H32" s="1"/>
      <x:c r="I32" s="1"/>
      <x:c r="J32" s="31"/>
      <x:c r="K32" s="30"/>
      <x:c r="L32" s="1"/>
      <x:c r="M32" s="1"/>
      <x:c r="N32" s="1"/>
      <x:c r="O32" s="1"/>
      <x:c r="P32" s="1"/>
    </x:row>
    <x:row r="33" ht="16.5">
      <x:c r="A33" s="171" t="n">
        <x:v>46168</x:v>
      </x:c>
      <x:c r="B33" s="52" t="str">
        <x:f t="shared" si="0">IF(SUM(C33:G33)=0,"",SUM(C33:G33))</x:f>
      </x:c>
      <x:c r="C33" s="99"/>
      <x:c r="D33" s="100"/>
      <x:c r="E33" s="100"/>
      <x:c r="F33" s="53" t="str">
        <x:f>IF('RETAIL &amp; PRINT'!G36="","",'RETAIL &amp; PRINT'!G36)</x:f>
      </x:c>
      <x:c r="G33" s="53" t="str">
        <x:f t="shared" si="1">IF(F33="","",F33*10%)</x:f>
      </x:c>
      <x:c r="H33" s="1"/>
      <x:c r="I33" s="1"/>
      <x:c r="J33" s="32"/>
      <x:c r="K33" s="30"/>
      <x:c r="L33" s="1"/>
      <x:c r="M33" s="1"/>
      <x:c r="N33" s="1"/>
      <x:c r="O33" s="1"/>
      <x:c r="P33" s="1"/>
    </x:row>
    <x:row r="34" ht="16.5">
      <x:c r="A34" s="171" t="n">
        <x:v>46169</x:v>
      </x:c>
      <x:c r="B34" s="52" t="str">
        <x:f t="shared" si="0">IF(SUM(C34:G34)=0,"",SUM(C34:G34))</x:f>
      </x:c>
      <x:c r="C34" s="99"/>
      <x:c r="D34" s="100"/>
      <x:c r="E34" s="100"/>
      <x:c r="F34" s="53" t="str">
        <x:f>IF('RETAIL &amp; PRINT'!G37="","",'RETAIL &amp; PRINT'!G37)</x:f>
      </x:c>
      <x:c r="G34" s="53" t="str">
        <x:f t="shared" si="1">IF(F34="","",F34*10%)</x:f>
      </x:c>
      <x:c r="H34" s="1"/>
      <x:c r="I34" s="1"/>
      <x:c r="J34" s="1"/>
      <x:c r="K34" s="1"/>
      <x:c r="L34" s="1"/>
      <x:c r="M34" s="1"/>
      <x:c r="N34" s="1"/>
      <x:c r="O34" s="1"/>
      <x:c r="P34" s="1"/>
    </x:row>
    <x:row r="35" ht="16.5">
      <x:c r="A35" s="171" t="n">
        <x:v>46170</x:v>
      </x:c>
      <x:c r="B35" s="52" t="str">
        <x:f t="shared" si="0">IF(SUM(C35:G35)=0,"",SUM(C35:G35))</x:f>
      </x:c>
      <x:c r="C35" s="99"/>
      <x:c r="D35" s="100"/>
      <x:c r="E35" s="100"/>
      <x:c r="F35" s="53" t="str">
        <x:f>IF('RETAIL &amp; PRINT'!G38="","",'RETAIL &amp; PRINT'!G38)</x:f>
      </x:c>
      <x:c r="G35" s="53" t="str">
        <x:f t="shared" si="1">IF(F35="","",F35*10%)</x:f>
      </x:c>
      <x:c r="H35" s="1"/>
      <x:c r="I35" s="1"/>
      <x:c r="J35" s="1"/>
      <x:c r="K35" s="1"/>
      <x:c r="L35" s="1"/>
      <x:c r="M35" s="1"/>
      <x:c r="N35" s="1"/>
      <x:c r="O35" s="1"/>
      <x:c r="P35" s="1"/>
    </x:row>
    <x:row r="36" ht="16.5">
      <x:c r="A36" s="171" t="n">
        <x:v>46171</x:v>
      </x:c>
      <x:c r="B36" s="52" t="str">
        <x:f t="shared" si="0">IF(SUM(C36:G36)=0,"",SUM(C36:G36))</x:f>
      </x:c>
      <x:c r="C36" s="99"/>
      <x:c r="D36" s="100"/>
      <x:c r="E36" s="100"/>
      <x:c r="F36" s="53" t="str">
        <x:f>IF('RETAIL &amp; PRINT'!G39="","",'RETAIL &amp; PRINT'!G39)</x:f>
      </x:c>
      <x:c r="G36" s="53" t="str">
        <x:f t="shared" si="1">IF(F36="","",F36*10%)</x:f>
      </x:c>
      <x:c r="H36" s="1"/>
      <x:c r="I36" s="1"/>
      <x:c r="J36" s="1"/>
      <x:c r="K36" s="1"/>
      <x:c r="L36" s="1"/>
      <x:c r="M36" s="1"/>
      <x:c r="N36" s="1"/>
      <x:c r="O36" s="1"/>
      <x:c r="P36" s="1"/>
    </x:row>
    <x:row r="37" ht="16.5">
      <x:c r="A37" s="171" t="n">
        <x:v>46172</x:v>
      </x:c>
      <x:c r="B37" s="52" t="str">
        <x:f t="shared" si="0">IF(SUM(C37:G37)=0,"",SUM(C37:G37))</x:f>
      </x:c>
      <x:c r="C37" s="99"/>
      <x:c r="D37" s="100"/>
      <x:c r="E37" s="100"/>
      <x:c r="F37" s="53" t="str">
        <x:f>IF('RETAIL &amp; PRINT'!G40="","",'RETAIL &amp; PRINT'!G40)</x:f>
      </x:c>
      <x:c r="G37" s="53" t="str">
        <x:f t="shared" si="1">IF(F37="","",F37*10%)</x:f>
      </x:c>
      <x:c r="H37" s="1"/>
      <x:c r="I37" s="1"/>
      <x:c r="J37" s="1"/>
      <x:c r="K37" s="1"/>
      <x:c r="L37" s="1"/>
      <x:c r="M37" s="1"/>
      <x:c r="N37" s="1"/>
      <x:c r="O37" s="1"/>
      <x:c r="P37" s="1"/>
    </x:row>
    <x:row r="38" ht="16.5">
      <x:c r="A38" s="171" t="n">
        <x:v>46173</x:v>
      </x:c>
      <x:c r="B38" s="52" t="str">
        <x:f t="shared" si="0">IF(SUM(C38:G38)=0,"",SUM(C38:G38))</x:f>
      </x:c>
      <x:c r="C38" s="76"/>
      <x:c r="D38" s="54"/>
      <x:c r="E38" s="54"/>
      <x:c r="F38" s="53" t="str">
        <x:f>IF('RETAIL &amp; PRINT'!G41="","",'RETAIL &amp; PRINT'!G41)</x:f>
      </x:c>
      <x:c r="G38" s="53" t="str">
        <x:f t="shared" si="1">IF(F38="","",F38*10%)</x:f>
      </x:c>
      <x:c r="H38" s="1"/>
      <x:c r="I38" s="1"/>
      <x:c r="J38" s="1"/>
      <x:c r="K38" s="1"/>
      <x:c r="L38" s="1"/>
      <x:c r="M38" s="1"/>
      <x:c r="N38" s="1"/>
      <x:c r="O38" s="1"/>
      <x:c r="P38" s="1"/>
    </x:row>
    <x:row r="39" ht="16.5">
      <x:c r="A39" s="51"/>
      <x:c r="B39" s="75" t="str">
        <x:f t="shared" ref="B39:G39" si="2">IF(SUM(B8:B38)=0,"",SUM(B8:B38))</x:f>
      </x:c>
      <x:c r="C39" s="75" t="str">
        <x:f>IF(SUM(C8:C38)=0,"",SUM(C8:C38))</x:f>
      </x:c>
      <x:c r="D39" s="75" t="str">
        <x:f t="shared" si="2">IF(SUM(D8:D38)=0,"",SUM(D8:D38))</x:f>
      </x:c>
      <x:c r="E39" s="75" t="str">
        <x:f t="shared" si="2">IF(SUM(E8:E38)=0,"",SUM(E8:E38))</x:f>
      </x:c>
      <x:c r="F39" s="75" t="str">
        <x:f t="shared" si="2">IF(SUM(F8:F38)=0,"",SUM(F8:F38))</x:f>
      </x:c>
      <x:c r="G39" s="75" t="str">
        <x:f t="shared" si="2">IF(SUM(G8:G38)=0,"",SUM(G8:G38))</x:f>
      </x:c>
      <x:c r="H39" s="1"/>
      <x:c r="I39" s="1"/>
      <x:c r="J39" s="1"/>
      <x:c r="K39" s="1"/>
      <x:c r="L39" s="1"/>
      <x:c r="M39" s="1"/>
      <x:c r="N39" s="1"/>
      <x:c r="O39" s="1"/>
      <x:c r="P39" s="1"/>
    </x:row>
    <x:row r="40" ht="16.5">
      <x:c r="A40" s="51"/>
      <x:c r="B40" s="66" t="str">
        <x:f>IF(B39="","",B39)</x:f>
      </x:c>
      <x:c r="C40" s="67" t="str">
        <x:f>IF(C39="","",C39)</x:f>
      </x:c>
      <x:c r="D40" s="107" t="str">
        <x:f>IF(SUM(D39:E39)=0,"",SUM(D39:E39))</x:f>
      </x:c>
      <x:c r="E40" s="108"/>
      <x:c r="F40" s="142" t="str">
        <x:f>IF(SUM(F39:G39)=0,"",SUM(F39:G39))</x:f>
      </x:c>
      <x:c r="G40" s="143"/>
      <x:c r="H40" s="1"/>
      <x:c r="I40" s="1"/>
      <x:c r="J40" s="1"/>
      <x:c r="K40" s="1"/>
      <x:c r="L40" s="1"/>
      <x:c r="M40" s="1"/>
      <x:c r="N40" s="1"/>
      <x:c r="O40" s="1"/>
      <x:c r="P40" s="1"/>
    </x:row>
    <x:row r="41" ht="16.5">
      <x:c r="B41" s="11"/>
      <x:c r="C41" s="1"/>
      <x:c r="D41" s="19"/>
      <x:c r="E41" s="19"/>
      <x:c r="F41" s="12"/>
      <x:c r="G41" s="13"/>
      <x:c r="H41" s="1"/>
      <x:c r="I41" s="1"/>
      <x:c r="J41" s="1"/>
      <x:c r="K41" s="1"/>
      <x:c r="L41" s="1"/>
      <x:c r="M41" s="1"/>
      <x:c r="N41" s="1"/>
      <x:c r="O41" s="1"/>
      <x:c r="P41" s="1"/>
    </x:row>
    <x:row r="42" ht="16.5">
      <x:c r="B42" s="11"/>
      <x:c r="C42" s="1"/>
      <x:c r="D42" s="19"/>
      <x:c r="E42" s="19"/>
      <x:c r="F42" s="12"/>
      <x:c r="G42" s="25"/>
      <x:c r="H42" s="1"/>
      <x:c r="I42" s="1"/>
      <x:c r="J42" s="1"/>
      <x:c r="K42" s="1"/>
      <x:c r="L42" s="1"/>
      <x:c r="M42" s="1"/>
      <x:c r="N42" s="1"/>
      <x:c r="O42" s="1"/>
      <x:c r="P42" s="1"/>
    </x:row>
    <x:row r="43" ht="16.5">
      <x:c r="B43" s="11"/>
      <x:c r="C43" s="27"/>
      <x:c r="D43" s="19"/>
      <x:c r="E43" s="19"/>
      <x:c r="F43" s="12"/>
      <x:c r="G43" s="13"/>
      <x:c r="H43" s="1"/>
      <x:c r="I43" s="1"/>
      <x:c r="J43" s="1"/>
      <x:c r="K43" s="1"/>
      <x:c r="L43" s="1"/>
      <x:c r="M43" s="1"/>
      <x:c r="N43" s="1"/>
      <x:c r="O43" s="1"/>
      <x:c r="P43" s="1"/>
    </x:row>
    <x:row r="44" ht="16.5">
      <x:c r="B44" s="11"/>
      <x:c r="C44" s="27"/>
      <x:c r="D44" s="19"/>
      <x:c r="E44" s="19"/>
      <x:c r="F44" s="12"/>
      <x:c r="G44" s="13"/>
      <x:c r="H44" s="1"/>
      <x:c r="I44" s="1"/>
      <x:c r="J44" s="1"/>
      <x:c r="K44" s="1"/>
      <x:c r="L44" s="1"/>
      <x:c r="M44" s="1"/>
      <x:c r="N44" s="1"/>
      <x:c r="O44" s="1"/>
      <x:c r="P44" s="1"/>
    </x:row>
    <x:row r="45" ht="16.5">
      <x:c r="B45" s="11"/>
      <x:c r="C45" s="27"/>
      <x:c r="D45" s="19"/>
      <x:c r="E45" s="19"/>
      <x:c r="F45" s="12"/>
      <x:c r="G45" s="13"/>
      <x:c r="H45" s="1"/>
      <x:c r="I45" s="1"/>
      <x:c r="J45" s="1"/>
      <x:c r="K45" s="1"/>
      <x:c r="L45" s="1"/>
      <x:c r="M45" s="1"/>
      <x:c r="N45" s="1"/>
      <x:c r="O45" s="1"/>
      <x:c r="P45" s="1"/>
    </x:row>
    <x:row r="46" ht="16.5">
      <x:c r="B46" s="11"/>
      <x:c r="C46" s="1"/>
      <x:c r="D46" s="19"/>
      <x:c r="E46" s="19"/>
      <x:c r="F46" s="12"/>
      <x:c r="G46" s="13"/>
      <x:c r="H46" s="1"/>
      <x:c r="I46" s="1"/>
      <x:c r="J46" s="1"/>
      <x:c r="K46" s="1"/>
      <x:c r="L46" s="1"/>
      <x:c r="M46" s="1"/>
      <x:c r="N46" s="1"/>
      <x:c r="O46" s="1"/>
      <x:c r="P46" s="1"/>
    </x:row>
    <x:row r="47" ht="16.5">
      <x:c r="B47" s="11"/>
      <x:c r="C47" s="1"/>
      <x:c r="D47" s="19"/>
      <x:c r="E47" s="19"/>
      <x:c r="F47" s="12"/>
      <x:c r="G47" s="13"/>
      <x:c r="H47" s="1"/>
      <x:c r="I47" s="1"/>
      <x:c r="J47" s="1"/>
      <x:c r="K47" s="1"/>
      <x:c r="L47" s="1"/>
      <x:c r="M47" s="1"/>
      <x:c r="N47" s="1"/>
      <x:c r="O47" s="1"/>
      <x:c r="P47" s="1"/>
    </x:row>
    <x:row r="48" ht="16.5">
      <x:c r="B48" s="11"/>
      <x:c r="C48" s="1"/>
      <x:c r="D48" s="19"/>
      <x:c r="E48" s="19"/>
      <x:c r="F48" s="12"/>
      <x:c r="G48" s="13"/>
      <x:c r="H48" s="1"/>
      <x:c r="I48" s="1"/>
      <x:c r="J48" s="1"/>
      <x:c r="K48" s="1"/>
      <x:c r="L48" s="1"/>
      <x:c r="M48" s="1"/>
      <x:c r="N48" s="1"/>
      <x:c r="O48" s="1"/>
      <x:c r="P48" s="1"/>
    </x:row>
    <x:row r="49" ht="16.5">
      <x:c r="B49" s="11"/>
      <x:c r="C49" s="1"/>
      <x:c r="D49" s="19"/>
      <x:c r="E49" s="19"/>
      <x:c r="F49" s="12"/>
      <x:c r="G49" s="13"/>
      <x:c r="H49" s="1"/>
      <x:c r="I49" s="1"/>
      <x:c r="J49" s="1"/>
      <x:c r="K49" s="1"/>
      <x:c r="L49" s="1"/>
      <x:c r="M49" s="1"/>
      <x:c r="N49" s="1"/>
      <x:c r="O49" s="1"/>
      <x:c r="P49" s="1"/>
    </x:row>
    <x:row r="50" ht="16.5">
      <x:c r="A50"/>
      <x:c r="B50" s="11"/>
      <x:c r="C50" s="1"/>
      <x:c r="D50" s="19"/>
      <x:c r="E50" s="19"/>
      <x:c r="F50" s="12"/>
      <x:c r="G50" s="13"/>
      <x:c r="H50" s="1"/>
      <x:c r="I50" s="1"/>
      <x:c r="J50" s="1"/>
      <x:c r="K50" s="1"/>
      <x:c r="L50" s="1"/>
      <x:c r="M50" s="1"/>
      <x:c r="N50" s="1"/>
      <x:c r="O50" s="1"/>
      <x:c r="P50" s="1"/>
    </x:row>
    <x:row r="51" ht="16.5">
      <x:c r="A51"/>
      <x:c r="B51" s="11"/>
      <x:c r="C51" s="1"/>
      <x:c r="D51" s="19"/>
      <x:c r="E51" s="19"/>
      <x:c r="F51" s="12"/>
      <x:c r="G51" s="13"/>
      <x:c r="H51" s="1"/>
      <x:c r="I51" s="1"/>
      <x:c r="J51" s="1"/>
      <x:c r="K51" s="1"/>
      <x:c r="L51" s="1"/>
      <x:c r="M51" s="1"/>
      <x:c r="N51" s="1"/>
      <x:c r="O51" s="1"/>
      <x:c r="P51" s="1"/>
    </x:row>
    <x:row r="52" ht="16.5">
      <x:c r="A52"/>
      <x:c r="B52" s="11"/>
      <x:c r="C52" s="1"/>
      <x:c r="D52" s="19"/>
      <x:c r="E52" s="19"/>
      <x:c r="F52" s="12"/>
      <x:c r="G52" s="13"/>
      <x:c r="H52" s="1"/>
      <x:c r="I52" s="1"/>
      <x:c r="J52" s="1"/>
      <x:c r="K52" s="1"/>
      <x:c r="L52" s="1"/>
      <x:c r="M52" s="1"/>
      <x:c r="N52" s="1"/>
      <x:c r="O52" s="1"/>
      <x:c r="P52" s="1"/>
    </x:row>
    <x:row r="53" ht="16.5">
      <x:c r="A53"/>
      <x:c r="B53" s="11"/>
      <x:c r="C53" s="1"/>
      <x:c r="D53" s="19"/>
      <x:c r="E53" s="19"/>
      <x:c r="F53" s="12"/>
      <x:c r="G53" s="13"/>
      <x:c r="H53" s="1"/>
      <x:c r="I53" s="1"/>
      <x:c r="J53" s="1"/>
      <x:c r="K53" s="1"/>
      <x:c r="L53" s="1"/>
      <x:c r="M53" s="1"/>
      <x:c r="N53" s="1"/>
      <x:c r="O53" s="1"/>
      <x:c r="P53" s="1"/>
    </x:row>
    <x:row r="54" ht="16.5">
      <x:c r="A54"/>
      <x:c r="B54" s="11"/>
      <x:c r="C54" s="1"/>
      <x:c r="D54" s="19"/>
      <x:c r="E54" s="19"/>
      <x:c r="F54" s="12"/>
      <x:c r="G54" s="13"/>
      <x:c r="H54" s="1"/>
      <x:c r="I54" s="1"/>
      <x:c r="J54" s="1"/>
      <x:c r="K54" s="1"/>
      <x:c r="L54" s="1"/>
      <x:c r="M54" s="1"/>
      <x:c r="N54" s="1"/>
      <x:c r="O54" s="1"/>
      <x:c r="P54" s="1"/>
    </x:row>
    <x:row r="55" ht="16.5">
      <x:c r="A55"/>
      <x:c r="B55" s="11"/>
      <x:c r="C55" s="1"/>
      <x:c r="D55" s="19"/>
      <x:c r="E55" s="19"/>
      <x:c r="F55" s="12"/>
      <x:c r="G55" s="13"/>
      <x:c r="H55" s="1"/>
      <x:c r="I55" s="1"/>
      <x:c r="J55" s="1"/>
      <x:c r="K55" s="1"/>
      <x:c r="L55" s="1"/>
      <x:c r="M55" s="1"/>
      <x:c r="N55" s="1"/>
      <x:c r="O55" s="1"/>
      <x:c r="P55" s="1"/>
    </x:row>
    <x:row r="56" ht="16.5">
      <x:c r="A56"/>
      <x:c r="B56" s="11"/>
      <x:c r="C56" s="1"/>
      <x:c r="D56" s="19"/>
      <x:c r="E56" s="19"/>
      <x:c r="F56" s="12"/>
      <x:c r="G56" s="13"/>
      <x:c r="H56" s="1"/>
      <x:c r="I56" s="1"/>
      <x:c r="J56" s="1"/>
      <x:c r="K56" s="1"/>
      <x:c r="L56" s="1"/>
      <x:c r="M56" s="1"/>
      <x:c r="N56" s="1"/>
      <x:c r="O56" s="1"/>
      <x:c r="P56" s="1"/>
    </x:row>
    <x:row r="57" ht="16.5">
      <x:c r="A57"/>
      <x:c r="B57" s="11"/>
      <x:c r="C57" s="1"/>
      <x:c r="D57" s="19"/>
      <x:c r="E57" s="19"/>
      <x:c r="F57" s="12"/>
      <x:c r="G57" s="13"/>
      <x:c r="H57" s="1"/>
      <x:c r="I57" s="1"/>
      <x:c r="J57" s="1"/>
      <x:c r="K57" s="1"/>
      <x:c r="L57" s="1"/>
      <x:c r="M57" s="1"/>
      <x:c r="N57" s="1"/>
      <x:c r="O57" s="1"/>
      <x:c r="P57" s="1"/>
    </x:row>
    <x:row r="58" ht="16.5">
      <x:c r="A58"/>
      <x:c r="B58" s="11"/>
      <x:c r="C58" s="1"/>
      <x:c r="D58" s="19"/>
      <x:c r="E58" s="19"/>
      <x:c r="F58" s="12"/>
      <x:c r="G58" s="13"/>
      <x:c r="H58" s="1"/>
      <x:c r="I58" s="1"/>
      <x:c r="J58" s="1"/>
      <x:c r="K58" s="1"/>
      <x:c r="L58" s="1"/>
      <x:c r="M58" s="1"/>
      <x:c r="N58" s="1"/>
      <x:c r="O58" s="1"/>
      <x:c r="P58" s="1"/>
    </x:row>
    <x:row r="59" ht="16.5">
      <x:c r="A59"/>
      <x:c r="B59" s="11"/>
      <x:c r="C59" s="1"/>
      <x:c r="D59" s="19"/>
      <x:c r="E59" s="19"/>
      <x:c r="F59" s="12"/>
      <x:c r="G59" s="13"/>
      <x:c r="H59" s="1"/>
      <x:c r="I59" s="1"/>
      <x:c r="J59" s="1"/>
      <x:c r="K59" s="1"/>
      <x:c r="L59" s="1"/>
      <x:c r="M59" s="1"/>
      <x:c r="N59" s="1"/>
      <x:c r="O59" s="1"/>
      <x:c r="P59" s="1"/>
    </x:row>
    <x:row r="60" ht="16.5">
      <x:c r="A60"/>
      <x:c r="B60" s="11"/>
      <x:c r="C60" s="1"/>
      <x:c r="D60" s="19"/>
      <x:c r="E60" s="19"/>
      <x:c r="F60" s="12"/>
      <x:c r="G60" s="13"/>
      <x:c r="H60" s="1"/>
      <x:c r="I60" s="1"/>
      <x:c r="J60" s="1"/>
      <x:c r="K60" s="1"/>
      <x:c r="L60" s="1"/>
      <x:c r="M60" s="1"/>
      <x:c r="N60" s="1"/>
      <x:c r="O60" s="1"/>
      <x:c r="P60" s="1"/>
    </x:row>
    <x:row r="61" ht="16.5">
      <x:c r="A61"/>
      <x:c r="B61" s="11"/>
      <x:c r="C61" s="1"/>
      <x:c r="D61" s="19"/>
      <x:c r="E61" s="19"/>
      <x:c r="F61" s="12"/>
      <x:c r="G61" s="13"/>
      <x:c r="H61" s="1"/>
      <x:c r="I61" s="1"/>
      <x:c r="J61" s="1"/>
      <x:c r="K61" s="1"/>
      <x:c r="L61" s="1"/>
      <x:c r="M61" s="1"/>
      <x:c r="N61" s="1"/>
      <x:c r="O61" s="1"/>
      <x:c r="P61" s="1"/>
    </x:row>
    <x:row r="62" ht="16.5">
      <x:c r="A62"/>
      <x:c r="B62" s="11"/>
      <x:c r="C62" s="1"/>
      <x:c r="D62" s="19"/>
      <x:c r="E62" s="19"/>
      <x:c r="F62" s="12"/>
      <x:c r="G62" s="13"/>
      <x:c r="H62" s="1"/>
      <x:c r="I62" s="1"/>
      <x:c r="J62" s="1"/>
      <x:c r="K62" s="1"/>
      <x:c r="L62" s="1"/>
      <x:c r="M62" s="1"/>
      <x:c r="N62" s="1"/>
      <x:c r="O62" s="1"/>
      <x:c r="P62" s="1"/>
    </x:row>
    <x:row r="63" ht="16.5">
      <x:c r="A63"/>
      <x:c r="B63" s="11"/>
      <x:c r="C63" s="1"/>
      <x:c r="D63" s="19"/>
      <x:c r="E63" s="19"/>
      <x:c r="F63" s="12"/>
      <x:c r="G63" s="13"/>
      <x:c r="H63" s="1"/>
      <x:c r="I63" s="1"/>
      <x:c r="J63" s="1"/>
      <x:c r="K63" s="1"/>
      <x:c r="L63" s="1"/>
      <x:c r="M63" s="1"/>
      <x:c r="N63" s="1"/>
      <x:c r="O63" s="1"/>
      <x:c r="P63" s="1"/>
    </x:row>
    <x:row r="64" ht="16.5">
      <x:c r="A64"/>
      <x:c r="B64" s="11"/>
      <x:c r="C64" s="1"/>
      <x:c r="D64" s="19"/>
      <x:c r="E64" s="19"/>
      <x:c r="F64" s="12"/>
      <x:c r="G64" s="13"/>
      <x:c r="H64" s="1"/>
      <x:c r="I64" s="1"/>
      <x:c r="J64" s="1"/>
      <x:c r="K64" s="1"/>
      <x:c r="L64" s="1"/>
      <x:c r="M64" s="1"/>
      <x:c r="N64" s="1"/>
      <x:c r="O64" s="1"/>
      <x:c r="P64" s="1"/>
    </x:row>
    <x:row r="65" ht="16.5">
      <x:c r="A65"/>
      <x:c r="B65" s="11"/>
      <x:c r="C65" s="1"/>
      <x:c r="D65" s="19"/>
      <x:c r="E65" s="19"/>
      <x:c r="F65" s="12"/>
      <x:c r="G65" s="13"/>
      <x:c r="H65" s="1"/>
      <x:c r="I65" s="1"/>
      <x:c r="J65" s="1"/>
      <x:c r="K65" s="1"/>
      <x:c r="L65" s="1"/>
      <x:c r="M65" s="1"/>
      <x:c r="N65" s="1"/>
      <x:c r="O65" s="1"/>
      <x:c r="P65" s="1"/>
    </x:row>
    <x:row r="66" ht="16.5">
      <x:c r="A66"/>
      <x:c r="B66" s="11"/>
      <x:c r="C66" s="1"/>
      <x:c r="D66" s="19"/>
      <x:c r="E66" s="19"/>
      <x:c r="F66" s="12"/>
      <x:c r="G66" s="13"/>
      <x:c r="H66" s="1"/>
      <x:c r="I66" s="1"/>
      <x:c r="J66" s="1"/>
      <x:c r="K66" s="1"/>
      <x:c r="L66" s="1"/>
      <x:c r="M66" s="1"/>
      <x:c r="N66" s="1"/>
      <x:c r="O66" s="1"/>
      <x:c r="P66" s="1"/>
    </x:row>
    <x:row r="67" ht="16.5">
      <x:c r="A67"/>
      <x:c r="B67" s="11"/>
      <x:c r="C67" s="1"/>
      <x:c r="D67" s="19"/>
      <x:c r="E67" s="19"/>
      <x:c r="F67" s="12"/>
      <x:c r="G67" s="13"/>
      <x:c r="H67" s="1"/>
      <x:c r="I67" s="1"/>
      <x:c r="J67" s="1"/>
      <x:c r="K67" s="1"/>
      <x:c r="L67" s="1"/>
      <x:c r="M67" s="1"/>
      <x:c r="N67" s="1"/>
      <x:c r="O67" s="1"/>
      <x:c r="P67" s="1"/>
    </x:row>
    <x:row r="68" ht="16.5">
      <x:c r="A68"/>
      <x:c r="B68" s="11"/>
      <x:c r="C68" s="1"/>
      <x:c r="D68" s="19"/>
      <x:c r="E68" s="19"/>
      <x:c r="F68" s="12"/>
      <x:c r="G68" s="13"/>
      <x:c r="H68" s="1"/>
      <x:c r="I68" s="1"/>
      <x:c r="J68" s="1"/>
      <x:c r="K68" s="1"/>
      <x:c r="L68" s="1"/>
      <x:c r="M68" s="1"/>
      <x:c r="N68" s="1"/>
      <x:c r="O68" s="1"/>
      <x:c r="P68" s="1"/>
    </x:row>
    <x:row r="69" ht="16.5">
      <x:c r="A69"/>
      <x:c r="B69" s="11"/>
      <x:c r="C69" s="1"/>
      <x:c r="D69" s="19"/>
      <x:c r="E69" s="19"/>
      <x:c r="F69" s="12"/>
      <x:c r="G69" s="13"/>
      <x:c r="H69" s="1"/>
      <x:c r="I69" s="1"/>
      <x:c r="J69" s="1"/>
      <x:c r="K69" s="1"/>
      <x:c r="L69" s="1"/>
      <x:c r="M69" s="1"/>
      <x:c r="N69" s="1"/>
      <x:c r="O69" s="1"/>
      <x:c r="P69" s="1"/>
    </x:row>
    <x:row r="70" ht="16.5">
      <x:c r="A70"/>
      <x:c r="B70" s="11"/>
      <x:c r="C70" s="1"/>
      <x:c r="D70" s="19"/>
      <x:c r="E70" s="19"/>
      <x:c r="F70" s="12"/>
      <x:c r="G70" s="13"/>
      <x:c r="H70" s="1"/>
      <x:c r="I70" s="1"/>
      <x:c r="J70" s="1"/>
      <x:c r="K70" s="1"/>
      <x:c r="L70" s="1"/>
      <x:c r="M70" s="1"/>
      <x:c r="N70" s="1"/>
      <x:c r="O70" s="1"/>
      <x:c r="P70" s="1"/>
    </x:row>
    <x:row r="71" ht="16.5">
      <x:c r="A71"/>
      <x:c r="B71" s="11"/>
      <x:c r="C71" s="1"/>
      <x:c r="D71" s="19"/>
      <x:c r="E71" s="19"/>
      <x:c r="F71" s="12"/>
      <x:c r="G71" s="13"/>
      <x:c r="H71" s="1"/>
      <x:c r="I71" s="1"/>
      <x:c r="J71" s="1"/>
      <x:c r="K71" s="1"/>
      <x:c r="L71" s="1"/>
      <x:c r="M71" s="1"/>
      <x:c r="N71" s="1"/>
      <x:c r="O71" s="1"/>
      <x:c r="P71" s="1"/>
    </x:row>
    <x:row r="72" ht="16.5">
      <x:c r="A72"/>
      <x:c r="B72" s="11"/>
      <x:c r="C72" s="1"/>
      <x:c r="D72" s="19"/>
      <x:c r="E72" s="19"/>
      <x:c r="F72" s="12"/>
      <x:c r="G72" s="13"/>
      <x:c r="H72" s="1"/>
      <x:c r="I72" s="1"/>
      <x:c r="J72" s="1"/>
      <x:c r="K72" s="1"/>
      <x:c r="L72" s="1"/>
      <x:c r="M72" s="1"/>
      <x:c r="N72" s="1"/>
      <x:c r="O72" s="1"/>
      <x:c r="P72" s="1"/>
    </x:row>
    <x:row r="73" ht="16.5">
      <x:c r="A73"/>
      <x:c r="B73" s="11"/>
      <x:c r="C73" s="1"/>
      <x:c r="D73" s="19"/>
      <x:c r="E73" s="19"/>
      <x:c r="F73" s="12"/>
      <x:c r="G73" s="13"/>
      <x:c r="H73" s="1"/>
      <x:c r="I73" s="1"/>
      <x:c r="J73" s="1"/>
      <x:c r="K73" s="1"/>
      <x:c r="L73" s="1"/>
      <x:c r="M73" s="1"/>
      <x:c r="N73" s="1"/>
      <x:c r="O73" s="1"/>
      <x:c r="P73" s="1"/>
    </x:row>
    <x:row r="74" ht="16.5">
      <x:c r="A74"/>
      <x:c r="B74" s="11"/>
      <x:c r="C74" s="1"/>
      <x:c r="D74" s="19"/>
      <x:c r="E74" s="19"/>
      <x:c r="F74" s="12"/>
      <x:c r="G74" s="13"/>
      <x:c r="H74" s="1"/>
      <x:c r="I74" s="1"/>
      <x:c r="J74" s="1"/>
      <x:c r="K74" s="1"/>
      <x:c r="L74" s="1"/>
      <x:c r="M74" s="1"/>
      <x:c r="N74" s="1"/>
      <x:c r="O74" s="1"/>
      <x:c r="P74" s="1"/>
    </x:row>
    <x:row r="75" ht="16.5">
      <x:c r="A75"/>
      <x:c r="B75" s="11"/>
      <x:c r="C75" s="1"/>
      <x:c r="D75" s="19"/>
      <x:c r="E75" s="19"/>
      <x:c r="F75" s="12"/>
      <x:c r="G75" s="13"/>
      <x:c r="H75" s="1"/>
      <x:c r="I75" s="1"/>
      <x:c r="J75" s="1"/>
      <x:c r="K75" s="1"/>
      <x:c r="L75" s="1"/>
      <x:c r="M75" s="1"/>
      <x:c r="N75" s="1"/>
      <x:c r="O75" s="1"/>
      <x:c r="P75" s="1"/>
    </x:row>
    <x:row r="76" ht="16.5">
      <x:c r="A76"/>
      <x:c r="B76" s="11"/>
      <x:c r="C76" s="1"/>
      <x:c r="D76" s="19"/>
      <x:c r="E76" s="19"/>
      <x:c r="F76" s="12"/>
      <x:c r="G76" s="13"/>
      <x:c r="H76" s="1"/>
      <x:c r="I76" s="1"/>
      <x:c r="J76" s="1"/>
      <x:c r="K76" s="1"/>
      <x:c r="L76" s="1"/>
      <x:c r="M76" s="1"/>
      <x:c r="N76" s="1"/>
      <x:c r="O76" s="1"/>
      <x:c r="P76" s="1"/>
    </x:row>
    <x:row r="77" ht="16.5">
      <x:c r="A77"/>
      <x:c r="B77" s="11"/>
      <x:c r="C77" s="1"/>
      <x:c r="D77" s="19"/>
      <x:c r="E77" s="19"/>
      <x:c r="F77" s="12"/>
      <x:c r="G77" s="13"/>
      <x:c r="H77" s="1"/>
      <x:c r="I77" s="1"/>
      <x:c r="J77" s="1"/>
      <x:c r="K77" s="1"/>
      <x:c r="L77" s="1"/>
      <x:c r="M77" s="1"/>
      <x:c r="N77" s="1"/>
      <x:c r="O77" s="1"/>
      <x:c r="P77" s="1"/>
    </x:row>
    <x:row r="78" ht="16.5">
      <x:c r="A78"/>
      <x:c r="B78" s="11"/>
      <x:c r="C78" s="1"/>
      <x:c r="D78" s="19"/>
      <x:c r="E78" s="19"/>
      <x:c r="F78" s="12"/>
      <x:c r="G78" s="13"/>
      <x:c r="H78" s="1"/>
      <x:c r="I78" s="1"/>
      <x:c r="J78" s="1"/>
      <x:c r="K78" s="1"/>
      <x:c r="L78" s="1"/>
      <x:c r="M78" s="1"/>
      <x:c r="N78" s="1"/>
      <x:c r="O78" s="1"/>
      <x:c r="P78" s="1"/>
    </x:row>
  </x:sheetData>
  <x:mergeCells>
    <x:mergeCell ref="D5:E5"/>
    <x:mergeCell ref="F5:G5"/>
    <x:mergeCell ref="I5:K5"/>
    <x:mergeCell ref="F40:G40"/>
  </x:mergeCells>
  <x:pageMargins left="0.7" right="0.7" top="0.75" bottom="0.75" header="0.3" footer="0.3"/>
  <x:drawing xmlns:r="http://schemas.openxmlformats.org/officeDocument/2006/relationships" r:id="R7d34b62edd784e23"/>
</x:worksheet>
</file>

<file path=xl/worksheets/sheet10.xml><?xml version="1.0" encoding="utf-8"?>
<x:worksheet xmlns:x="http://schemas.openxmlformats.org/spreadsheetml/2006/main">
  <x:sheetPr>
    <x:tabColor rgb="FFFF0000"/>
  </x:sheetPr>
  <x:sheetFormatPr defaultRowHeight="15"/>
  <x:cols>
    <x:col min="1" max="1" width="13.42578125" style="14" customWidth="1"/>
    <x:col min="2" max="2" width="16.42578125" style="6" customWidth="1"/>
    <x:col min="3" max="3" width="19" customWidth="1"/>
    <x:col min="4" max="4" width="16.85546875" style="20" customWidth="1"/>
    <x:col min="5" max="5" width="22.140625" style="20" customWidth="1"/>
    <x:col min="6" max="6" width="29.5703125" customWidth="1"/>
    <x:col min="7" max="7" width="11.42578125" customWidth="1"/>
    <x:col min="8" max="8" width="13.140625" customWidth="1"/>
  </x:cols>
  <x:sheetData>
    <x:row r="1" ht="50.25" customHeight="1"/>
    <x:row r="2" ht="18">
      <x:c r="A2" s="16" t="str">
        <x:v>DAILY SALES  - MAY 2026 (THIRD PARD)</x:v>
      </x:c>
      <x:c r="B2" s="16"/>
      <x:c r="C2" s="16"/>
      <x:c r="D2" s="18"/>
      <x:c r="F2" s="20"/>
      <x:c r="G2" s="16"/>
      <x:c r="H2" s="16"/>
      <x:c r="I2" s="16"/>
      <x:c r="J2" s="16"/>
      <x:c r="K2" s="16"/>
      <x:c r="L2" s="16"/>
      <x:c r="M2" s="16"/>
      <x:c r="N2" s="16"/>
      <x:c r="O2" s="16"/>
    </x:row>
    <x:row r="3" ht="18">
      <x:c r="B3" s="24"/>
      <x:c r="C3" s="24"/>
      <x:c r="D3" s="18"/>
      <x:c r="E3" s="18"/>
      <x:c r="F3" s="24"/>
      <x:c r="G3" s="24"/>
      <x:c r="H3" s="24"/>
      <x:c r="I3" s="24"/>
      <x:c r="J3" s="24"/>
      <x:c r="K3" s="24"/>
      <x:c r="L3" s="24"/>
      <x:c r="M3" s="24"/>
      <x:c r="N3" s="24"/>
      <x:c r="O3" s="24"/>
    </x:row>
    <x:row r="4" ht="16.5">
      <x:c r="B4" s="11"/>
      <x:c r="C4" s="1"/>
      <x:c r="D4" s="19"/>
      <x:c r="E4" s="19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16.5">
      <x:c r="A5" s="21" t="s">
        <x:v>21</x:v>
      </x:c>
      <x:c r="B5" s="22" t="s">
        <x:v>22</x:v>
      </x:c>
      <x:c r="C5" s="106" t="s">
        <x:v>31</x:v>
      </x:c>
      <x:c r="D5" s="106" t="s">
        <x:v>32</x:v>
      </x:c>
      <x:c r="E5" s="106" t="s">
        <x:v>33</x:v>
      </x:c>
      <x:c r="F5" s="2"/>
      <x:c r="G5" s="135" t="s">
        <x:v>26</x:v>
      </x:c>
      <x:c r="H5" s="135"/>
      <x:c r="I5" s="135"/>
      <x:c r="N5" s="1"/>
      <x:c r="O5" s="1"/>
    </x:row>
    <x:row r="6" ht="16.5">
      <x:c r="A6" s="21"/>
      <x:c r="B6" s="22"/>
      <x:c r="C6" s="23"/>
      <x:c r="D6" s="69"/>
      <x:c r="E6" s="69" t="s">
        <x:v>39</x:v>
      </x:c>
      <x:c r="F6" s="2"/>
      <x:c r="G6" s="17"/>
      <x:c r="H6" s="17"/>
      <x:c r="I6" s="17"/>
      <x:c r="N6" s="1"/>
      <x:c r="O6" s="1"/>
    </x:row>
    <x:row r="7" ht="16.5">
      <x:c r="A7" s="15"/>
      <x:c r="B7" s="7"/>
      <x:c r="C7" s="5"/>
      <x:c r="D7" s="70"/>
      <x:c r="E7" s="70" t="s">
        <x:v>40</x:v>
      </x:c>
      <x:c r="F7" s="2"/>
      <x:c r="G7" s="3" t="str">
        <x:f>C5</x:f>
        <x:v>Kitwe</x:v>
      </x:c>
      <x:c r="H7" s="10" t="str">
        <x:f>C5</x:f>
        <x:v>Kitwe</x:v>
      </x:c>
      <x:c r="I7" s="4" t="str">
        <x:f>IF(C39="","",C39)</x:f>
      </x:c>
      <x:c r="J7" t="str">
        <x:f>IFERROR($C$39/$B$39,"")</x:f>
      </x:c>
      <x:c r="N7" s="1"/>
      <x:c r="O7" s="1"/>
    </x:row>
    <x:row r="8" ht="16.5">
      <x:c r="A8" s="171" t="n">
        <x:v>46143</x:v>
      </x:c>
      <x:c r="B8" s="52" t="str">
        <x:f t="shared" ref="B8:B38" si="0">IF(SUM(C8:F8)=0,"",SUM(C8:F8))</x:f>
      </x:c>
      <x:c r="C8" s="53"/>
      <x:c r="D8" s="54"/>
      <x:c r="E8" s="54"/>
      <x:c r="F8" s="1"/>
      <x:c r="G8" s="3" t="str">
        <x:f>D5</x:f>
        <x:v>Eldo</x:v>
      </x:c>
      <x:c r="H8" s="10" t="str">
        <x:f>D5</x:f>
        <x:v>Eldo</x:v>
      </x:c>
      <x:c r="I8" s="4" t="str">
        <x:f>IF(D39="","",D39)</x:f>
      </x:c>
      <x:c r="J8" t="str">
        <x:f>IFERROR($D$39/$B$39,"")</x:f>
      </x:c>
      <x:c r="N8" s="1"/>
      <x:c r="O8" s="1"/>
    </x:row>
    <x:row r="9" ht="16.5">
      <x:c r="A9" s="171" t="n">
        <x:v>46144</x:v>
      </x:c>
      <x:c r="B9" s="52" t="str">
        <x:f t="shared" si="0">IF(SUM(C9:F9)=0,"",SUM(C9:F9))</x:f>
      </x:c>
      <x:c r="C9" s="53"/>
      <x:c r="D9" s="54"/>
      <x:c r="E9" s="54"/>
      <x:c r="F9" s="1"/>
      <x:c r="G9" s="3" t="str">
        <x:f>E5</x:f>
        <x:v>Clubview</x:v>
      </x:c>
      <x:c r="H9" s="10" t="n">
        <x:f>F5</x:f>
        <x:v>0</x:v>
      </x:c>
      <x:c r="I9" s="4" t="str">
        <x:f>IF(F39="","",F39)</x:f>
      </x:c>
      <x:c r="J9" t="str">
        <x:f>IFERROR($F$39/$B$39,"")</x:f>
      </x:c>
      <x:c r="N9" s="1"/>
      <x:c r="O9" s="1"/>
    </x:row>
    <x:row r="10" ht="16.5">
      <x:c r="A10" s="171" t="n">
        <x:v>46145</x:v>
      </x:c>
      <x:c r="B10" s="52" t="str">
        <x:f t="shared" si="0">IF(SUM(C10:F10)=0,"",SUM(C10:F10))</x:f>
      </x:c>
      <x:c r="C10" s="53"/>
      <x:c r="D10" s="54"/>
      <x:c r="E10" s="54"/>
      <x:c r="F10" s="1"/>
      <x:c r="G10" s="39"/>
      <x:c r="H10" s="40"/>
      <x:c r="I10" s="41" t="str">
        <x:f>IF(SUM(I7:I9)=0,"",SUM(I7:I9))</x:f>
      </x:c>
      <x:c r="J10" s="1" t="str">
        <x:f>IF(SUM(J7:J9)=0,"",SUM(J7:J9))</x:f>
      </x:c>
      <x:c r="K10" s="1"/>
      <x:c r="L10" s="1"/>
      <x:c r="M10" s="1"/>
      <x:c r="N10" s="1"/>
      <x:c r="O10" s="1"/>
    </x:row>
    <x:row r="11" ht="16.5">
      <x:c r="A11" s="171" t="n">
        <x:v>46146</x:v>
      </x:c>
      <x:c r="B11" s="52" t="str">
        <x:f t="shared" si="0">IF(SUM(C11:F11)=0,"",SUM(C11:F11))</x:f>
      </x:c>
      <x:c r="C11" s="53"/>
      <x:c r="D11" s="54"/>
      <x:c r="E11" s="54"/>
      <x:c r="F11" s="1"/>
      <x:c r="G11" s="1"/>
      <x:c r="H11" s="38"/>
      <x:c r="I11" s="30"/>
      <x:c r="J11" s="1"/>
      <x:c r="K11" s="1"/>
      <x:c r="L11" s="1"/>
      <x:c r="M11" s="1"/>
      <x:c r="N11" s="1"/>
      <x:c r="O11" s="1"/>
    </x:row>
    <x:row r="12" ht="16.5">
      <x:c r="A12" s="171" t="n">
        <x:v>46147</x:v>
      </x:c>
      <x:c r="B12" s="52" t="str">
        <x:f t="shared" si="0">IF(SUM(C12:F12)=0,"",SUM(C12:F12))</x:f>
      </x:c>
      <x:c r="C12" s="53"/>
      <x:c r="D12" s="54"/>
      <x:c r="E12" s="54"/>
      <x:c r="F12" s="1"/>
      <x:c r="G12" s="1"/>
      <x:c r="H12" s="38"/>
      <x:c r="I12" s="30"/>
      <x:c r="J12" s="1"/>
      <x:c r="K12" s="1"/>
      <x:c r="L12" s="1"/>
      <x:c r="M12" s="1"/>
      <x:c r="N12" s="1"/>
      <x:c r="O12" s="1"/>
    </x:row>
    <x:row r="13" ht="16.5">
      <x:c r="A13" s="171" t="n">
        <x:v>46148</x:v>
      </x:c>
      <x:c r="B13" s="52" t="str">
        <x:f t="shared" si="0">IF(SUM(C13:F13)=0,"",SUM(C13:F13))</x:f>
      </x:c>
      <x:c r="C13" s="53"/>
      <x:c r="D13" s="54"/>
      <x:c r="E13" s="54"/>
      <x:c r="F13" s="1"/>
      <x:c r="G13" s="1"/>
      <x:c r="H13" s="1"/>
      <x:c r="I13" s="1"/>
      <x:c r="J13" s="1"/>
      <x:c r="K13" s="1"/>
      <x:c r="L13" s="1"/>
      <x:c r="M13" s="1"/>
      <x:c r="N13" s="1"/>
      <x:c r="O13" s="1"/>
    </x:row>
    <x:row r="14" ht="16.5">
      <x:c r="A14" s="171" t="n">
        <x:v>46149</x:v>
      </x:c>
      <x:c r="B14" s="52" t="str">
        <x:f t="shared" si="0">IF(SUM(C14:F14)=0,"",SUM(C14:F14))</x:f>
      </x:c>
      <x:c r="C14" s="53"/>
      <x:c r="D14" s="54"/>
      <x:c r="E14" s="54"/>
      <x:c r="F14" s="1"/>
      <x:c r="G14" s="1"/>
      <x:c r="H14" s="27"/>
      <x:c r="I14" s="28"/>
      <x:c r="J14" s="1"/>
      <x:c r="K14" s="1"/>
      <x:c r="L14" s="1"/>
      <x:c r="M14" s="1"/>
      <x:c r="N14" s="1"/>
      <x:c r="O14" s="1"/>
    </x:row>
    <x:row r="15" ht="16.5">
      <x:c r="A15" s="171" t="n">
        <x:v>46150</x:v>
      </x:c>
      <x:c r="B15" s="52" t="str">
        <x:f t="shared" si="0">IF(SUM(C15:F15)=0,"",SUM(C15:F15))</x:f>
      </x:c>
      <x:c r="C15" s="53"/>
      <x:c r="D15" s="54"/>
      <x:c r="E15" s="54"/>
      <x:c r="F15" s="1"/>
      <x:c r="G15" s="1"/>
      <x:c r="H15" s="1"/>
      <x:c r="I15" s="1"/>
      <x:c r="J15" s="1"/>
      <x:c r="K15" s="1"/>
      <x:c r="L15" s="1"/>
      <x:c r="M15" s="1"/>
      <x:c r="N15" s="1"/>
      <x:c r="O15" s="1"/>
    </x:row>
    <x:row r="16" ht="16.5">
      <x:c r="A16" s="171" t="n">
        <x:v>46151</x:v>
      </x:c>
      <x:c r="B16" s="52" t="str">
        <x:f t="shared" si="0">IF(SUM(C16:F16)=0,"",SUM(C16:F16))</x:f>
      </x:c>
      <x:c r="C16" s="53"/>
      <x:c r="D16" s="54"/>
      <x:c r="E16" s="54"/>
      <x:c r="F16" s="1"/>
      <x:c r="G16" s="1"/>
      <x:c r="H16" s="1"/>
      <x:c r="I16" s="1"/>
      <x:c r="J16" s="1"/>
      <x:c r="K16" s="1"/>
      <x:c r="L16" s="1"/>
      <x:c r="M16" s="1"/>
      <x:c r="N16" s="1"/>
      <x:c r="O16" s="1"/>
    </x:row>
    <x:row r="17" ht="16.5">
      <x:c r="A17" s="171" t="n">
        <x:v>46152</x:v>
      </x:c>
      <x:c r="B17" s="52" t="str">
        <x:f t="shared" si="0">IF(SUM(C17:F17)=0,"",SUM(C17:F17))</x:f>
      </x:c>
      <x:c r="C17" s="53"/>
      <x:c r="D17" s="54"/>
      <x:c r="E17" s="54"/>
      <x:c r="F17" s="1"/>
      <x:c r="G17" s="1"/>
      <x:c r="H17" s="1"/>
      <x:c r="I17" s="1"/>
      <x:c r="J17" s="1"/>
      <x:c r="K17" s="1"/>
      <x:c r="L17" s="1"/>
      <x:c r="M17" s="1"/>
      <x:c r="N17" s="1"/>
      <x:c r="O17" s="1"/>
    </x:row>
    <x:row r="18" ht="16.5">
      <x:c r="A18" s="171" t="n">
        <x:v>46153</x:v>
      </x:c>
      <x:c r="B18" s="52" t="str">
        <x:f t="shared" si="0">IF(SUM(C18:F18)=0,"",SUM(C18:F18))</x:f>
      </x:c>
      <x:c r="C18" s="53"/>
      <x:c r="D18" s="54"/>
      <x:c r="E18" s="54"/>
      <x:c r="F18" s="1"/>
      <x:c r="G18" s="1"/>
      <x:c r="H18" s="1"/>
      <x:c r="I18" s="1"/>
      <x:c r="J18" s="1"/>
      <x:c r="K18" s="1"/>
      <x:c r="L18" s="1"/>
      <x:c r="M18" s="1"/>
      <x:c r="N18" s="1"/>
      <x:c r="O18" s="1"/>
    </x:row>
    <x:row r="19" ht="16.5">
      <x:c r="A19" s="171" t="n">
        <x:v>46154</x:v>
      </x:c>
      <x:c r="B19" s="52" t="str">
        <x:f t="shared" si="0">IF(SUM(C19:F19)=0,"",SUM(C19:F19))</x:f>
      </x:c>
      <x:c r="C19" s="53"/>
      <x:c r="D19" s="54"/>
      <x:c r="E19" s="54"/>
      <x:c r="F19" s="1"/>
      <x:c r="G19" s="1"/>
      <x:c r="H19" s="1"/>
      <x:c r="I19" s="1"/>
      <x:c r="J19" s="1"/>
      <x:c r="K19" s="1"/>
      <x:c r="L19" s="1"/>
      <x:c r="M19" s="1"/>
      <x:c r="N19" s="1"/>
      <x:c r="O19" s="1"/>
    </x:row>
    <x:row r="20" ht="16.5">
      <x:c r="A20" s="171" t="n">
        <x:v>46155</x:v>
      </x:c>
      <x:c r="B20" s="52" t="str">
        <x:f t="shared" si="0">IF(SUM(C20:F20)=0,"",SUM(C20:F20))</x:f>
      </x:c>
      <x:c r="C20" s="53"/>
      <x:c r="D20" s="54"/>
      <x:c r="E20" s="54"/>
      <x:c r="F20" s="1"/>
      <x:c r="G20" s="1"/>
      <x:c r="H20" s="1"/>
      <x:c r="I20" s="1"/>
      <x:c r="J20" s="1"/>
      <x:c r="K20" s="1"/>
      <x:c r="L20" s="1"/>
      <x:c r="M20" s="1"/>
      <x:c r="N20" s="1"/>
      <x:c r="O20" s="1"/>
    </x:row>
    <x:row r="21" ht="16.5">
      <x:c r="A21" s="171" t="n">
        <x:v>46156</x:v>
      </x:c>
      <x:c r="B21" s="52" t="str">
        <x:f t="shared" si="0">IF(SUM(C21:F21)=0,"",SUM(C21:F21))</x:f>
      </x:c>
      <x:c r="C21" s="53"/>
      <x:c r="D21" s="54"/>
      <x:c r="E21" s="54"/>
      <x:c r="F21" s="1"/>
      <x:c r="G21" s="1"/>
      <x:c r="H21" s="1"/>
      <x:c r="I21" s="1"/>
      <x:c r="J21" s="1"/>
      <x:c r="K21" s="1"/>
      <x:c r="L21" s="1"/>
      <x:c r="M21" s="1"/>
      <x:c r="N21" s="1"/>
      <x:c r="O21" s="1"/>
    </x:row>
    <x:row r="22" ht="16.5">
      <x:c r="A22" s="171" t="n">
        <x:v>46157</x:v>
      </x:c>
      <x:c r="B22" s="52" t="str">
        <x:f t="shared" si="0">IF(SUM(C22:F22)=0,"",SUM(C22:F22))</x:f>
      </x:c>
      <x:c r="C22" s="53"/>
      <x:c r="D22" s="54"/>
      <x:c r="E22" s="54"/>
      <x:c r="F22" s="1"/>
      <x:c r="G22" s="1"/>
      <x:c r="H22" s="1"/>
      <x:c r="I22" s="1"/>
      <x:c r="J22" s="1"/>
      <x:c r="K22" s="1"/>
      <x:c r="L22" s="1"/>
      <x:c r="M22" s="1"/>
      <x:c r="N22" s="1"/>
      <x:c r="O22" s="1"/>
    </x:row>
    <x:row r="23" ht="16.5">
      <x:c r="A23" s="171" t="n">
        <x:v>46158</x:v>
      </x:c>
      <x:c r="B23" s="52" t="str">
        <x:f t="shared" si="0">IF(SUM(C23:F23)=0,"",SUM(C23:F23))</x:f>
      </x:c>
      <x:c r="C23" s="53"/>
      <x:c r="D23" s="54"/>
      <x:c r="E23" s="54"/>
      <x:c r="F23" s="1"/>
      <x:c r="G23" s="1"/>
      <x:c r="H23" s="1"/>
      <x:c r="I23" s="1"/>
      <x:c r="J23" s="1"/>
      <x:c r="K23" s="1"/>
      <x:c r="L23" s="1"/>
      <x:c r="M23" s="1"/>
      <x:c r="N23" s="1"/>
      <x:c r="O23" s="1"/>
    </x:row>
    <x:row r="24" ht="16.5">
      <x:c r="A24" s="171" t="n">
        <x:v>46159</x:v>
      </x:c>
      <x:c r="B24" s="52" t="str">
        <x:f t="shared" si="0">IF(SUM(C24:F24)=0,"",SUM(C24:F24))</x:f>
      </x:c>
      <x:c r="C24" s="53"/>
      <x:c r="D24" s="54"/>
      <x:c r="E24" s="54"/>
      <x:c r="F24" s="1"/>
      <x:c r="G24" s="1"/>
      <x:c r="H24" s="1"/>
      <x:c r="I24" s="1"/>
      <x:c r="J24" s="1"/>
      <x:c r="K24" s="1"/>
      <x:c r="L24" s="1"/>
      <x:c r="M24" s="1"/>
      <x:c r="N24" s="1"/>
      <x:c r="O24" s="1"/>
    </x:row>
    <x:row r="25" ht="16.5">
      <x:c r="A25" s="171" t="n">
        <x:v>46160</x:v>
      </x:c>
      <x:c r="B25" s="52" t="str">
        <x:f t="shared" si="0">IF(SUM(C25:F25)=0,"",SUM(C25:F25))</x:f>
      </x:c>
      <x:c r="C25" s="53"/>
      <x:c r="D25" s="54"/>
      <x:c r="E25" s="54"/>
      <x:c r="F25" s="1"/>
      <x:c r="G25" s="34"/>
      <x:c r="H25" s="34"/>
      <x:c r="I25" s="34"/>
      <x:c r="J25" s="1"/>
      <x:c r="K25" s="1"/>
      <x:c r="L25" s="1"/>
      <x:c r="M25" s="1"/>
      <x:c r="N25" s="1"/>
      <x:c r="O25" s="1"/>
    </x:row>
    <x:row r="26" ht="16.5">
      <x:c r="A26" s="171" t="n">
        <x:v>46161</x:v>
      </x:c>
      <x:c r="B26" s="52" t="str">
        <x:f t="shared" si="0">IF(SUM(C26:F26)=0,"",SUM(C26:F26))</x:f>
      </x:c>
      <x:c r="C26" s="53"/>
      <x:c r="D26" s="54"/>
      <x:c r="E26" s="54"/>
      <x:c r="F26" s="1"/>
      <x:c r="G26" s="33"/>
      <x:c r="H26" s="33"/>
      <x:c r="I26" s="33"/>
      <x:c r="J26" s="1"/>
      <x:c r="K26" s="1"/>
      <x:c r="L26" s="1"/>
      <x:c r="M26" s="1"/>
      <x:c r="N26" s="1"/>
      <x:c r="O26" s="1"/>
    </x:row>
    <x:row r="27" ht="16.5">
      <x:c r="A27" s="171" t="n">
        <x:v>46162</x:v>
      </x:c>
      <x:c r="B27" s="52" t="str">
        <x:f t="shared" si="0">IF(SUM(C27:F27)=0,"",SUM(C27:F27))</x:f>
      </x:c>
      <x:c r="C27" s="53"/>
      <x:c r="D27" s="54"/>
      <x:c r="E27" s="54"/>
      <x:c r="F27" s="1"/>
      <x:c r="G27" s="34"/>
      <x:c r="H27" s="35"/>
      <x:c r="I27" s="36"/>
      <x:c r="J27" s="1"/>
      <x:c r="K27" s="1"/>
      <x:c r="L27" s="1"/>
      <x:c r="M27" s="1"/>
      <x:c r="N27" s="1"/>
      <x:c r="O27" s="1"/>
    </x:row>
    <x:row r="28" ht="16.5">
      <x:c r="A28" s="171" t="n">
        <x:v>46163</x:v>
      </x:c>
      <x:c r="B28" s="52" t="str">
        <x:f t="shared" si="0">IF(SUM(C28:F28)=0,"",SUM(C28:F28))</x:f>
      </x:c>
      <x:c r="C28" s="53"/>
      <x:c r="D28" s="54"/>
      <x:c r="E28" s="54"/>
      <x:c r="F28" s="1"/>
      <x:c r="G28" s="34"/>
      <x:c r="H28" s="37"/>
      <x:c r="I28" s="36"/>
      <x:c r="J28" s="1"/>
      <x:c r="K28" s="1"/>
      <x:c r="L28" s="1"/>
      <x:c r="M28" s="1"/>
      <x:c r="N28" s="1"/>
      <x:c r="O28" s="1"/>
    </x:row>
    <x:row r="29" ht="16.5">
      <x:c r="A29" s="171" t="n">
        <x:v>46164</x:v>
      </x:c>
      <x:c r="B29" s="52" t="str">
        <x:f t="shared" si="0">IF(SUM(C29:F29)=0,"",SUM(C29:F29))</x:f>
      </x:c>
      <x:c r="C29" s="55"/>
      <x:c r="D29" s="56"/>
      <x:c r="E29" s="56"/>
      <x:c r="F29" s="1"/>
      <x:c r="G29" s="1"/>
      <x:c r="H29" s="29"/>
      <x:c r="I29" s="30"/>
      <x:c r="J29" s="1"/>
      <x:c r="K29" s="1"/>
      <x:c r="L29" s="1"/>
      <x:c r="M29" s="1"/>
      <x:c r="N29" s="1"/>
      <x:c r="O29" s="1"/>
    </x:row>
    <x:row r="30" ht="16.5">
      <x:c r="A30" s="171" t="n">
        <x:v>46165</x:v>
      </x:c>
      <x:c r="B30" s="52" t="str">
        <x:f t="shared" si="0">IF(SUM(C30:F30)=0,"",SUM(C30:F30))</x:f>
      </x:c>
      <x:c r="C30" s="53"/>
      <x:c r="D30" s="54"/>
      <x:c r="E30" s="54"/>
      <x:c r="F30" s="1"/>
      <x:c r="G30" s="1"/>
      <x:c r="H30" s="31"/>
      <x:c r="I30" s="30"/>
      <x:c r="J30" s="1"/>
      <x:c r="K30" s="1"/>
      <x:c r="L30" s="1"/>
      <x:c r="M30" s="1"/>
      <x:c r="N30" s="1"/>
      <x:c r="O30" s="1"/>
    </x:row>
    <x:row r="31" ht="16.5">
      <x:c r="A31" s="171" t="n">
        <x:v>46166</x:v>
      </x:c>
      <x:c r="B31" s="52" t="str">
        <x:f t="shared" si="0">IF(SUM(C31:F31)=0,"",SUM(C31:F31))</x:f>
      </x:c>
      <x:c r="C31" s="53"/>
      <x:c r="D31" s="54"/>
      <x:c r="E31" s="54"/>
      <x:c r="F31" s="1"/>
      <x:c r="G31" s="1"/>
      <x:c r="H31" s="29"/>
      <x:c r="I31" s="30"/>
      <x:c r="J31" s="1"/>
      <x:c r="K31" s="1"/>
      <x:c r="L31" s="1"/>
      <x:c r="M31" s="1"/>
      <x:c r="N31" s="1"/>
      <x:c r="O31" s="1"/>
    </x:row>
    <x:row r="32" ht="16.5">
      <x:c r="A32" s="171" t="n">
        <x:v>46167</x:v>
      </x:c>
      <x:c r="B32" s="52" t="str">
        <x:f t="shared" si="0">IF(SUM(C32:F32)=0,"",SUM(C32:F32))</x:f>
      </x:c>
      <x:c r="C32" s="53"/>
      <x:c r="D32" s="54"/>
      <x:c r="E32" s="54"/>
      <x:c r="F32" s="1"/>
      <x:c r="G32" s="1"/>
      <x:c r="H32" s="31"/>
      <x:c r="I32" s="30"/>
      <x:c r="J32" s="1"/>
      <x:c r="K32" s="1"/>
      <x:c r="L32" s="1"/>
      <x:c r="M32" s="1"/>
      <x:c r="N32" s="1"/>
      <x:c r="O32" s="1"/>
    </x:row>
    <x:row r="33" ht="16.5">
      <x:c r="A33" s="171" t="n">
        <x:v>46168</x:v>
      </x:c>
      <x:c r="B33" s="52" t="str">
        <x:f t="shared" si="0">IF(SUM(C33:F33)=0,"",SUM(C33:F33))</x:f>
      </x:c>
      <x:c r="C33" s="53"/>
      <x:c r="D33" s="54"/>
      <x:c r="E33" s="54"/>
      <x:c r="F33" s="1"/>
      <x:c r="G33" s="1"/>
      <x:c r="H33" s="32"/>
      <x:c r="I33" s="30"/>
      <x:c r="J33" s="1"/>
      <x:c r="K33" s="1"/>
      <x:c r="L33" s="1"/>
      <x:c r="M33" s="1"/>
      <x:c r="N33" s="1"/>
      <x:c r="O33" s="1"/>
    </x:row>
    <x:row r="34" ht="16.5">
      <x:c r="A34" s="171" t="n">
        <x:v>46169</x:v>
      </x:c>
      <x:c r="B34" s="52" t="str">
        <x:f t="shared" si="0">IF(SUM(C34:F34)=0,"",SUM(C34:F34))</x:f>
      </x:c>
      <x:c r="C34" s="53"/>
      <x:c r="D34" s="54"/>
      <x:c r="E34" s="54"/>
      <x:c r="F34" s="1"/>
      <x:c r="G34" s="1"/>
      <x:c r="H34" s="1"/>
      <x:c r="I34" s="1"/>
      <x:c r="J34" s="1"/>
      <x:c r="K34" s="1"/>
      <x:c r="L34" s="1"/>
      <x:c r="M34" s="1"/>
      <x:c r="N34" s="1"/>
      <x:c r="O34" s="1"/>
    </x:row>
    <x:row r="35" ht="16.5">
      <x:c r="A35" s="171" t="n">
        <x:v>46170</x:v>
      </x:c>
      <x:c r="B35" s="52" t="str">
        <x:f t="shared" si="0">IF(SUM(C35:F35)=0,"",SUM(C35:F35))</x:f>
      </x:c>
      <x:c r="C35" s="53"/>
      <x:c r="D35" s="54"/>
      <x:c r="E35" s="54"/>
      <x:c r="F35" s="1"/>
      <x:c r="G35" s="1"/>
      <x:c r="H35" s="1"/>
      <x:c r="I35" s="1"/>
      <x:c r="J35" s="1"/>
      <x:c r="K35" s="1"/>
      <x:c r="L35" s="1"/>
      <x:c r="M35" s="1"/>
      <x:c r="N35" s="1"/>
      <x:c r="O35" s="1"/>
    </x:row>
    <x:row r="36" ht="16.5">
      <x:c r="A36" s="171" t="n">
        <x:v>46171</x:v>
      </x:c>
      <x:c r="B36" s="52" t="str">
        <x:f t="shared" si="0">IF(SUM(C36:F36)=0,"",SUM(C36:F36))</x:f>
      </x:c>
      <x:c r="C36" s="53"/>
      <x:c r="D36" s="54"/>
      <x:c r="E36" s="54"/>
      <x:c r="F36" s="1"/>
      <x:c r="G36" s="1"/>
      <x:c r="H36" s="1"/>
      <x:c r="I36" s="1"/>
      <x:c r="J36" s="1"/>
      <x:c r="K36" s="1"/>
      <x:c r="L36" s="1"/>
      <x:c r="M36" s="1"/>
      <x:c r="N36" s="1"/>
      <x:c r="O36" s="1"/>
    </x:row>
    <x:row r="37" ht="16.5">
      <x:c r="A37" s="171" t="n">
        <x:v>46172</x:v>
      </x:c>
      <x:c r="B37" s="52" t="str">
        <x:f t="shared" si="0">IF(SUM(C37:F37)=0,"",SUM(C37:F37))</x:f>
      </x:c>
      <x:c r="C37" s="53"/>
      <x:c r="D37" s="54"/>
      <x:c r="E37" s="54"/>
      <x:c r="F37" s="1"/>
      <x:c r="G37" s="1"/>
      <x:c r="H37" s="1"/>
      <x:c r="I37" s="1"/>
      <x:c r="J37" s="1"/>
      <x:c r="K37" s="1"/>
      <x:c r="L37" s="1"/>
      <x:c r="M37" s="1"/>
      <x:c r="N37" s="1"/>
      <x:c r="O37" s="1"/>
    </x:row>
    <x:row r="38" ht="16.5">
      <x:c r="A38" s="171" t="n">
        <x:v>46173</x:v>
      </x:c>
      <x:c r="B38" s="52" t="str">
        <x:f t="shared" si="0">IF(SUM(C38:F38)=0,"",SUM(C38:F38))</x:f>
      </x:c>
      <x:c r="C38" s="53"/>
      <x:c r="D38" s="54"/>
      <x:c r="E38" s="54"/>
      <x:c r="F38" s="1"/>
      <x:c r="G38" s="1"/>
      <x:c r="H38" s="1"/>
      <x:c r="I38" s="1"/>
      <x:c r="J38" s="1"/>
      <x:c r="K38" s="1"/>
      <x:c r="L38" s="1"/>
      <x:c r="M38" s="1"/>
      <x:c r="N38" s="1"/>
      <x:c r="O38" s="1"/>
    </x:row>
    <x:row r="39" ht="16.5">
      <x:c r="A39" s="51"/>
      <x:c r="B39" s="57" t="str">
        <x:f>IF(SUM(B8:B38)=0,"",SUM(B8:B38))</x:f>
      </x:c>
      <x:c r="C39" s="58" t="str">
        <x:f>IF(SUM(C8:C38)=0,"",SUM(C8:C38))</x:f>
      </x:c>
      <x:c r="D39" s="59" t="str">
        <x:f>IF(SUM(D8:D38)=0,"",SUM(D8:D38))</x:f>
      </x:c>
      <x:c r="E39" s="59" t="str">
        <x:f>IF(SUM(E8:E38)=0,"",SUM(E8:E38))</x:f>
      </x:c>
      <x:c r="F39" s="1" t="str">
        <x:f>IF(SUM(F8:F38)=0,"",SUM(F8:F38))</x:f>
      </x:c>
      <x:c r="G39" s="1"/>
      <x:c r="H39" s="1"/>
      <x:c r="I39" s="1"/>
      <x:c r="J39" s="1"/>
      <x:c r="K39" s="1"/>
      <x:c r="L39" s="1"/>
      <x:c r="M39" s="1"/>
      <x:c r="N39" s="1"/>
      <x:c r="O39" s="1"/>
    </x:row>
    <x:row r="40" ht="16.5">
      <x:c r="B40" s="11"/>
      <x:c r="C40" s="1"/>
      <x:c r="D40" s="19"/>
      <x:c r="E40" s="19"/>
      <x:c r="F40" s="1"/>
      <x:c r="G40" s="1"/>
      <x:c r="H40" s="1"/>
      <x:c r="I40" s="1"/>
      <x:c r="J40" s="1"/>
      <x:c r="K40" s="1"/>
      <x:c r="L40" s="1"/>
      <x:c r="M40" s="1"/>
      <x:c r="N40" s="1"/>
      <x:c r="O40" s="1"/>
    </x:row>
    <x:row r="41" ht="16.5">
      <x:c r="B41" s="11"/>
      <x:c r="C41" s="1"/>
      <x:c r="D41" s="19"/>
      <x:c r="E41" s="19"/>
      <x:c r="F41" s="1"/>
      <x:c r="G41" s="1"/>
      <x:c r="H41" s="1"/>
      <x:c r="I41" s="1"/>
      <x:c r="J41" s="1"/>
      <x:c r="K41" s="1"/>
      <x:c r="L41" s="1"/>
      <x:c r="M41" s="1"/>
      <x:c r="N41" s="1"/>
      <x:c r="O41" s="1"/>
    </x:row>
    <x:row r="42" ht="16.5">
      <x:c r="B42" s="11"/>
      <x:c r="C42" s="27"/>
      <x:c r="D42" s="19"/>
      <x:c r="E42" s="19"/>
      <x:c r="F42" s="1"/>
      <x:c r="G42" s="1"/>
      <x:c r="H42" s="1"/>
      <x:c r="I42" s="1"/>
      <x:c r="J42" s="1"/>
      <x:c r="K42" s="1"/>
      <x:c r="L42" s="1"/>
      <x:c r="M42" s="1"/>
      <x:c r="N42" s="1"/>
      <x:c r="O42" s="1"/>
    </x:row>
    <x:row r="43" ht="16.5">
      <x:c r="B43" s="11"/>
      <x:c r="C43" s="27"/>
      <x:c r="D43" s="19"/>
      <x:c r="E43" s="19"/>
      <x:c r="F43" s="1"/>
      <x:c r="G43" s="1"/>
      <x:c r="H43" s="1"/>
      <x:c r="I43" s="1"/>
      <x:c r="J43" s="1"/>
      <x:c r="K43" s="1"/>
      <x:c r="L43" s="1"/>
      <x:c r="M43" s="1"/>
      <x:c r="N43" s="1"/>
      <x:c r="O43" s="1"/>
    </x:row>
    <x:row r="44" ht="16.5">
      <x:c r="B44" s="11"/>
      <x:c r="C44" s="27"/>
      <x:c r="D44" s="19"/>
      <x:c r="E44" s="19"/>
      <x:c r="F44" s="1"/>
      <x:c r="G44" s="1"/>
      <x:c r="H44" s="1"/>
      <x:c r="I44" s="1"/>
      <x:c r="J44" s="1"/>
      <x:c r="K44" s="1"/>
      <x:c r="L44" s="1"/>
      <x:c r="M44" s="1"/>
      <x:c r="N44" s="1"/>
      <x:c r="O44" s="1"/>
    </x:row>
    <x:row r="45" ht="16.5">
      <x:c r="B45" s="11"/>
      <x:c r="C45" s="1"/>
      <x:c r="D45" s="19"/>
      <x:c r="E45" s="19"/>
      <x:c r="F45" s="1"/>
      <x:c r="G45" s="1"/>
      <x:c r="H45" s="1"/>
      <x:c r="I45" s="1"/>
      <x:c r="J45" s="1"/>
      <x:c r="K45" s="1"/>
      <x:c r="L45" s="1"/>
      <x:c r="M45" s="1"/>
      <x:c r="N45" s="1"/>
      <x:c r="O45" s="1"/>
    </x:row>
    <x:row r="46" ht="16.5">
      <x:c r="B46" s="11"/>
      <x:c r="C46" s="1"/>
      <x:c r="D46" s="19"/>
      <x:c r="E46" s="19"/>
      <x:c r="F46" s="1"/>
      <x:c r="G46" s="1"/>
      <x:c r="H46" s="1"/>
      <x:c r="I46" s="1"/>
      <x:c r="J46" s="1"/>
      <x:c r="K46" s="1"/>
      <x:c r="L46" s="1"/>
      <x:c r="M46" s="1"/>
      <x:c r="N46" s="1"/>
      <x:c r="O46" s="1"/>
    </x:row>
    <x:row r="47" ht="16.5">
      <x:c r="B47" s="11"/>
      <x:c r="C47" s="1"/>
      <x:c r="D47" s="19"/>
      <x:c r="E47" s="19"/>
      <x:c r="F47" s="1"/>
      <x:c r="G47" s="1"/>
      <x:c r="H47" s="1"/>
      <x:c r="I47" s="1"/>
      <x:c r="J47" s="1"/>
      <x:c r="K47" s="1"/>
      <x:c r="L47" s="1"/>
      <x:c r="M47" s="1"/>
      <x:c r="N47" s="1"/>
      <x:c r="O47" s="1"/>
    </x:row>
    <x:row r="48" ht="16.5">
      <x:c r="B48" s="11"/>
      <x:c r="C48" s="1"/>
      <x:c r="D48" s="19"/>
      <x:c r="E48" s="19"/>
      <x:c r="F48" s="1"/>
      <x:c r="G48" s="1"/>
      <x:c r="H48" s="1"/>
      <x:c r="I48" s="1"/>
      <x:c r="J48" s="1"/>
      <x:c r="K48" s="1"/>
      <x:c r="L48" s="1"/>
      <x:c r="M48" s="1"/>
      <x:c r="N48" s="1"/>
      <x:c r="O48" s="1"/>
    </x:row>
    <x:row r="49" ht="16.5">
      <x:c r="A49"/>
      <x:c r="B49" s="11"/>
      <x:c r="C49" s="1"/>
      <x:c r="D49" s="19"/>
      <x:c r="E49" s="19"/>
      <x:c r="F49" s="1"/>
      <x:c r="G49" s="1"/>
      <x:c r="H49" s="1"/>
      <x:c r="I49" s="1"/>
      <x:c r="J49" s="1"/>
      <x:c r="K49" s="1"/>
      <x:c r="L49" s="1"/>
      <x:c r="M49" s="1"/>
      <x:c r="N49" s="1"/>
      <x:c r="O49" s="1"/>
    </x:row>
    <x:row r="50" ht="16.5">
      <x:c r="A50"/>
      <x:c r="B50" s="11"/>
      <x:c r="C50" s="1"/>
      <x:c r="D50" s="19"/>
      <x:c r="E50" s="19"/>
      <x:c r="F50" s="1"/>
      <x:c r="G50" s="1"/>
      <x:c r="H50" s="1"/>
      <x:c r="I50" s="1"/>
      <x:c r="J50" s="1"/>
      <x:c r="K50" s="1"/>
      <x:c r="L50" s="1"/>
      <x:c r="M50" s="1"/>
      <x:c r="N50" s="1"/>
      <x:c r="O50" s="1"/>
    </x:row>
    <x:row r="51" ht="16.5">
      <x:c r="A51"/>
      <x:c r="B51" s="11"/>
      <x:c r="C51" s="1"/>
      <x:c r="D51" s="19"/>
      <x:c r="E51" s="19"/>
      <x:c r="F51" s="1"/>
      <x:c r="G51" s="1"/>
      <x:c r="H51" s="1"/>
      <x:c r="I51" s="1"/>
      <x:c r="J51" s="1"/>
      <x:c r="K51" s="1"/>
      <x:c r="L51" s="1"/>
      <x:c r="M51" s="1"/>
      <x:c r="N51" s="1"/>
      <x:c r="O51" s="1"/>
    </x:row>
    <x:row r="52" ht="16.5">
      <x:c r="A52"/>
      <x:c r="B52" s="11"/>
      <x:c r="C52" s="1"/>
      <x:c r="D52" s="19"/>
      <x:c r="E52" s="19"/>
      <x:c r="F52" s="1"/>
      <x:c r="G52" s="1"/>
      <x:c r="H52" s="1"/>
      <x:c r="I52" s="1"/>
      <x:c r="J52" s="1"/>
      <x:c r="K52" s="1"/>
      <x:c r="L52" s="1"/>
      <x:c r="M52" s="1"/>
      <x:c r="N52" s="1"/>
      <x:c r="O52" s="1"/>
    </x:row>
    <x:row r="53" ht="16.5">
      <x:c r="A53"/>
      <x:c r="B53" s="11"/>
      <x:c r="C53" s="1"/>
      <x:c r="D53" s="19"/>
      <x:c r="E53" s="19"/>
      <x:c r="F53" s="1"/>
      <x:c r="G53" s="1"/>
      <x:c r="H53" s="1"/>
      <x:c r="I53" s="1"/>
      <x:c r="J53" s="1"/>
      <x:c r="K53" s="1"/>
      <x:c r="L53" s="1"/>
      <x:c r="M53" s="1"/>
      <x:c r="N53" s="1"/>
      <x:c r="O53" s="1"/>
    </x:row>
    <x:row r="54" ht="16.5">
      <x:c r="A54"/>
      <x:c r="B54" s="11"/>
      <x:c r="C54" s="1"/>
      <x:c r="D54" s="19"/>
      <x:c r="E54" s="19"/>
      <x:c r="F54" s="1"/>
      <x:c r="G54" s="1"/>
      <x:c r="H54" s="1"/>
      <x:c r="I54" s="1"/>
      <x:c r="J54" s="1"/>
      <x:c r="K54" s="1"/>
      <x:c r="L54" s="1"/>
      <x:c r="M54" s="1"/>
      <x:c r="N54" s="1"/>
      <x:c r="O54" s="1"/>
    </x:row>
    <x:row r="55" ht="16.5">
      <x:c r="A55"/>
      <x:c r="B55" s="11"/>
      <x:c r="C55" s="1"/>
      <x:c r="D55" s="19"/>
      <x:c r="E55" s="19"/>
      <x:c r="F55" s="1"/>
      <x:c r="G55" s="1"/>
      <x:c r="H55" s="1"/>
      <x:c r="I55" s="1"/>
      <x:c r="J55" s="1"/>
      <x:c r="K55" s="1"/>
      <x:c r="L55" s="1"/>
      <x:c r="M55" s="1"/>
      <x:c r="N55" s="1"/>
      <x:c r="O55" s="1"/>
    </x:row>
    <x:row r="56" ht="16.5">
      <x:c r="A56"/>
      <x:c r="B56" s="11"/>
      <x:c r="C56" s="1"/>
      <x:c r="D56" s="19"/>
      <x:c r="E56" s="19"/>
      <x:c r="F56" s="1"/>
      <x:c r="G56" s="1"/>
      <x:c r="H56" s="1"/>
      <x:c r="I56" s="1"/>
      <x:c r="J56" s="1"/>
      <x:c r="K56" s="1"/>
      <x:c r="L56" s="1"/>
      <x:c r="M56" s="1"/>
      <x:c r="N56" s="1"/>
      <x:c r="O56" s="1"/>
    </x:row>
    <x:row r="57" ht="16.5">
      <x:c r="A57"/>
      <x:c r="B57" s="11"/>
      <x:c r="C57" s="1"/>
      <x:c r="D57" s="19"/>
      <x:c r="E57" s="19"/>
      <x:c r="F57" s="1"/>
      <x:c r="G57" s="1"/>
      <x:c r="H57" s="1"/>
      <x:c r="I57" s="1"/>
      <x:c r="J57" s="1"/>
      <x:c r="K57" s="1"/>
      <x:c r="L57" s="1"/>
      <x:c r="M57" s="1"/>
      <x:c r="N57" s="1"/>
      <x:c r="O57" s="1"/>
    </x:row>
    <x:row r="58" ht="16.5">
      <x:c r="A58"/>
      <x:c r="B58" s="11"/>
      <x:c r="C58" s="1"/>
      <x:c r="D58" s="19"/>
      <x:c r="E58" s="19"/>
      <x:c r="F58" s="1"/>
      <x:c r="G58" s="1"/>
      <x:c r="H58" s="1"/>
      <x:c r="I58" s="1"/>
      <x:c r="J58" s="1"/>
      <x:c r="K58" s="1"/>
      <x:c r="L58" s="1"/>
      <x:c r="M58" s="1"/>
      <x:c r="N58" s="1"/>
      <x:c r="O58" s="1"/>
    </x:row>
    <x:row r="59" ht="16.5">
      <x:c r="A59"/>
      <x:c r="B59" s="11"/>
      <x:c r="C59" s="1"/>
      <x:c r="D59" s="19"/>
      <x:c r="E59" s="19"/>
      <x:c r="F59" s="1"/>
      <x:c r="G59" s="1"/>
      <x:c r="H59" s="1"/>
      <x:c r="I59" s="1"/>
      <x:c r="J59" s="1"/>
      <x:c r="K59" s="1"/>
      <x:c r="L59" s="1"/>
      <x:c r="M59" s="1"/>
      <x:c r="N59" s="1"/>
      <x:c r="O59" s="1"/>
    </x:row>
    <x:row r="60" ht="16.5">
      <x:c r="A60"/>
      <x:c r="B60" s="11"/>
      <x:c r="C60" s="1"/>
      <x:c r="D60" s="19"/>
      <x:c r="E60" s="19"/>
      <x:c r="F60" s="1"/>
      <x:c r="G60" s="1"/>
      <x:c r="H60" s="1"/>
      <x:c r="I60" s="1"/>
      <x:c r="J60" s="1"/>
      <x:c r="K60" s="1"/>
      <x:c r="L60" s="1"/>
      <x:c r="M60" s="1"/>
      <x:c r="N60" s="1"/>
      <x:c r="O60" s="1"/>
    </x:row>
    <x:row r="61" ht="16.5">
      <x:c r="A61"/>
      <x:c r="B61" s="11"/>
      <x:c r="C61" s="1"/>
      <x:c r="D61" s="19"/>
      <x:c r="E61" s="19"/>
      <x:c r="F61" s="1"/>
      <x:c r="G61" s="1"/>
      <x:c r="H61" s="1"/>
      <x:c r="I61" s="1"/>
      <x:c r="J61" s="1"/>
      <x:c r="K61" s="1"/>
      <x:c r="L61" s="1"/>
      <x:c r="M61" s="1"/>
      <x:c r="N61" s="1"/>
      <x:c r="O61" s="1"/>
    </x:row>
    <x:row r="62" ht="16.5">
      <x:c r="A62"/>
      <x:c r="B62" s="11"/>
      <x:c r="C62" s="1"/>
      <x:c r="D62" s="19"/>
      <x:c r="E62" s="19"/>
      <x:c r="F62" s="1"/>
      <x:c r="G62" s="1"/>
      <x:c r="H62" s="1"/>
      <x:c r="I62" s="1"/>
      <x:c r="J62" s="1"/>
      <x:c r="K62" s="1"/>
      <x:c r="L62" s="1"/>
      <x:c r="M62" s="1"/>
      <x:c r="N62" s="1"/>
      <x:c r="O62" s="1"/>
    </x:row>
    <x:row r="63" ht="16.5">
      <x:c r="A63"/>
      <x:c r="B63" s="11"/>
      <x:c r="C63" s="1"/>
      <x:c r="D63" s="19"/>
      <x:c r="E63" s="19"/>
      <x:c r="F63" s="1"/>
      <x:c r="G63" s="1"/>
      <x:c r="H63" s="1"/>
      <x:c r="I63" s="1"/>
      <x:c r="J63" s="1"/>
      <x:c r="K63" s="1"/>
      <x:c r="L63" s="1"/>
      <x:c r="M63" s="1"/>
      <x:c r="N63" s="1"/>
      <x:c r="O63" s="1"/>
    </x:row>
    <x:row r="64" ht="16.5">
      <x:c r="A64"/>
      <x:c r="B64" s="11"/>
      <x:c r="C64" s="1"/>
      <x:c r="D64" s="19"/>
      <x:c r="E64" s="19"/>
      <x:c r="F64" s="1"/>
      <x:c r="G64" s="1"/>
      <x:c r="H64" s="1"/>
      <x:c r="I64" s="1"/>
      <x:c r="J64" s="1"/>
      <x:c r="K64" s="1"/>
      <x:c r="L64" s="1"/>
      <x:c r="M64" s="1"/>
      <x:c r="N64" s="1"/>
      <x:c r="O64" s="1"/>
    </x:row>
    <x:row r="65" ht="16.5">
      <x:c r="A65"/>
      <x:c r="B65" s="11"/>
      <x:c r="C65" s="1"/>
      <x:c r="D65" s="19"/>
      <x:c r="E65" s="19"/>
      <x:c r="F65" s="1"/>
      <x:c r="G65" s="1"/>
      <x:c r="H65" s="1"/>
      <x:c r="I65" s="1"/>
      <x:c r="J65" s="1"/>
      <x:c r="K65" s="1"/>
      <x:c r="L65" s="1"/>
      <x:c r="M65" s="1"/>
      <x:c r="N65" s="1"/>
      <x:c r="O65" s="1"/>
    </x:row>
    <x:row r="66" ht="16.5">
      <x:c r="A66"/>
      <x:c r="B66" s="11"/>
      <x:c r="C66" s="1"/>
      <x:c r="D66" s="19"/>
      <x:c r="E66" s="19"/>
      <x:c r="F66" s="1"/>
      <x:c r="G66" s="1"/>
      <x:c r="H66" s="1"/>
      <x:c r="I66" s="1"/>
      <x:c r="J66" s="1"/>
      <x:c r="K66" s="1"/>
      <x:c r="L66" s="1"/>
      <x:c r="M66" s="1"/>
      <x:c r="N66" s="1"/>
      <x:c r="O66" s="1"/>
    </x:row>
    <x:row r="67" ht="16.5">
      <x:c r="A67"/>
      <x:c r="B67" s="11"/>
      <x:c r="C67" s="1"/>
      <x:c r="D67" s="19"/>
      <x:c r="E67" s="19"/>
      <x:c r="F67" s="1"/>
      <x:c r="G67" s="1"/>
      <x:c r="H67" s="1"/>
      <x:c r="I67" s="1"/>
      <x:c r="J67" s="1"/>
      <x:c r="K67" s="1"/>
      <x:c r="L67" s="1"/>
      <x:c r="M67" s="1"/>
      <x:c r="N67" s="1"/>
      <x:c r="O67" s="1"/>
    </x:row>
    <x:row r="68" ht="16.5">
      <x:c r="A68"/>
      <x:c r="B68" s="11"/>
      <x:c r="C68" s="1"/>
      <x:c r="D68" s="19"/>
      <x:c r="E68" s="19"/>
      <x:c r="F68" s="1"/>
      <x:c r="G68" s="1"/>
      <x:c r="H68" s="1"/>
      <x:c r="I68" s="1"/>
      <x:c r="J68" s="1"/>
      <x:c r="K68" s="1"/>
      <x:c r="L68" s="1"/>
      <x:c r="M68" s="1"/>
      <x:c r="N68" s="1"/>
      <x:c r="O68" s="1"/>
    </x:row>
    <x:row r="69" ht="16.5">
      <x:c r="A69"/>
      <x:c r="B69" s="11"/>
      <x:c r="C69" s="1"/>
      <x:c r="D69" s="19"/>
      <x:c r="E69" s="19"/>
      <x:c r="F69" s="1"/>
      <x:c r="G69" s="1"/>
      <x:c r="H69" s="1"/>
      <x:c r="I69" s="1"/>
      <x:c r="J69" s="1"/>
      <x:c r="K69" s="1"/>
      <x:c r="L69" s="1"/>
      <x:c r="M69" s="1"/>
      <x:c r="N69" s="1"/>
      <x:c r="O69" s="1"/>
    </x:row>
    <x:row r="70" ht="16.5">
      <x:c r="A70"/>
      <x:c r="B70" s="11"/>
      <x:c r="C70" s="1"/>
      <x:c r="D70" s="19"/>
      <x:c r="E70" s="19"/>
      <x:c r="F70" s="1"/>
      <x:c r="G70" s="1"/>
      <x:c r="H70" s="1"/>
      <x:c r="I70" s="1"/>
      <x:c r="J70" s="1"/>
      <x:c r="K70" s="1"/>
      <x:c r="L70" s="1"/>
      <x:c r="M70" s="1"/>
      <x:c r="N70" s="1"/>
      <x:c r="O70" s="1"/>
    </x:row>
    <x:row r="71" ht="16.5">
      <x:c r="A71"/>
      <x:c r="B71" s="11"/>
      <x:c r="C71" s="1"/>
      <x:c r="D71" s="19"/>
      <x:c r="E71" s="19"/>
      <x:c r="F71" s="1"/>
      <x:c r="G71" s="1"/>
      <x:c r="H71" s="1"/>
      <x:c r="I71" s="1"/>
      <x:c r="J71" s="1"/>
      <x:c r="K71" s="1"/>
      <x:c r="L71" s="1"/>
      <x:c r="M71" s="1"/>
      <x:c r="N71" s="1"/>
      <x:c r="O71" s="1"/>
    </x:row>
    <x:row r="72" ht="16.5">
      <x:c r="A72"/>
      <x:c r="B72" s="11"/>
      <x:c r="C72" s="1"/>
      <x:c r="D72" s="19"/>
      <x:c r="E72" s="19"/>
      <x:c r="F72" s="1"/>
      <x:c r="G72" s="1"/>
      <x:c r="H72" s="1"/>
      <x:c r="I72" s="1"/>
      <x:c r="J72" s="1"/>
      <x:c r="K72" s="1"/>
      <x:c r="L72" s="1"/>
      <x:c r="M72" s="1"/>
      <x:c r="N72" s="1"/>
      <x:c r="O72" s="1"/>
    </x:row>
    <x:row r="73" ht="16.5">
      <x:c r="A73"/>
      <x:c r="B73" s="11"/>
      <x:c r="C73" s="1"/>
      <x:c r="D73" s="19"/>
      <x:c r="E73" s="19"/>
      <x:c r="F73" s="1"/>
      <x:c r="G73" s="1"/>
      <x:c r="H73" s="1"/>
      <x:c r="I73" s="1"/>
      <x:c r="J73" s="1"/>
      <x:c r="K73" s="1"/>
      <x:c r="L73" s="1"/>
      <x:c r="M73" s="1"/>
      <x:c r="N73" s="1"/>
      <x:c r="O73" s="1"/>
    </x:row>
    <x:row r="74" ht="16.5">
      <x:c r="A74"/>
      <x:c r="B74" s="11"/>
      <x:c r="C74" s="1"/>
      <x:c r="D74" s="19"/>
      <x:c r="E74" s="19"/>
      <x:c r="F74" s="1"/>
      <x:c r="G74" s="1"/>
      <x:c r="H74" s="1"/>
      <x:c r="I74" s="1"/>
      <x:c r="J74" s="1"/>
      <x:c r="K74" s="1"/>
      <x:c r="L74" s="1"/>
      <x:c r="M74" s="1"/>
      <x:c r="N74" s="1"/>
      <x:c r="O74" s="1"/>
    </x:row>
    <x:row r="75" ht="16.5">
      <x:c r="A75"/>
      <x:c r="B75" s="11"/>
      <x:c r="C75" s="1"/>
      <x:c r="D75" s="19"/>
      <x:c r="E75" s="19"/>
      <x:c r="F75" s="1"/>
      <x:c r="G75" s="1"/>
      <x:c r="H75" s="1"/>
      <x:c r="I75" s="1"/>
      <x:c r="J75" s="1"/>
      <x:c r="K75" s="1"/>
      <x:c r="L75" s="1"/>
      <x:c r="M75" s="1"/>
      <x:c r="N75" s="1"/>
      <x:c r="O75" s="1"/>
    </x:row>
    <x:row r="76" ht="16.5">
      <x:c r="A76"/>
      <x:c r="B76" s="11"/>
      <x:c r="C76" s="1"/>
      <x:c r="D76" s="19"/>
      <x:c r="E76" s="19"/>
      <x:c r="F76" s="1"/>
      <x:c r="G76" s="1"/>
      <x:c r="H76" s="1"/>
      <x:c r="I76" s="1"/>
      <x:c r="J76" s="1"/>
      <x:c r="K76" s="1"/>
      <x:c r="L76" s="1"/>
      <x:c r="M76" s="1"/>
      <x:c r="N76" s="1"/>
      <x:c r="O76" s="1"/>
    </x:row>
    <x:row r="77" ht="16.5">
      <x:c r="A77"/>
      <x:c r="B77" s="11"/>
      <x:c r="C77" s="1"/>
      <x:c r="D77" s="19"/>
      <x:c r="E77" s="19"/>
      <x:c r="F77" s="1"/>
      <x:c r="G77" s="1"/>
      <x:c r="H77" s="1"/>
      <x:c r="I77" s="1"/>
      <x:c r="J77" s="1"/>
      <x:c r="K77" s="1"/>
      <x:c r="L77" s="1"/>
      <x:c r="M77" s="1"/>
      <x:c r="N77" s="1"/>
      <x:c r="O77" s="1"/>
    </x:row>
  </x:sheetData>
  <x:mergeCells>
    <x:mergeCell ref="G5:I5"/>
  </x:mergeCells>
  <x:pageMargins left="0.7" right="0.7" top="0.75" bottom="0.75" header="0.3" footer="0.3"/>
  <x:drawing xmlns:r="http://schemas.openxmlformats.org/officeDocument/2006/relationships" r:id="R4e05e89cf4fe45df"/>
</x:worksheet>
</file>

<file path=xl/worksheets/sheet11.xml><?xml version="1.0" encoding="utf-8"?>
<x:worksheet xmlns:x="http://schemas.openxmlformats.org/spreadsheetml/2006/main">
  <x:sheetPr>
    <x:tabColor rgb="FFFF0000"/>
  </x:sheetPr>
  <x:sheetFormatPr defaultRowHeight="15"/>
  <x:cols>
    <x:col min="1" max="1" width="16.42578125" customWidth="1"/>
    <x:col min="2" max="2" width="15.140625" customWidth="1"/>
  </x:cols>
  <x:sheetData>
    <x:row r="1" ht="60.75" customHeight="1">
      <x:c r="A1" s="147" t="s">
        <x:v>34</x:v>
      </x:c>
      <x:c r="B1" s="147"/>
      <x:c r="C1" s="147"/>
      <x:c r="D1" s="147"/>
      <x:c r="E1" s="147"/>
      <x:c r="F1" s="147"/>
      <x:c r="G1" s="147"/>
      <x:c r="H1" s="147"/>
      <x:c r="I1" s="147"/>
      <x:c r="J1" s="147"/>
      <x:c r="K1" s="147"/>
      <x:c r="L1" s="147"/>
      <x:c r="M1" s="147"/>
      <x:c r="N1" s="147"/>
      <x:c r="O1" s="147"/>
      <x:c r="P1" s="147"/>
      <x:c r="Q1" s="147"/>
      <x:c r="R1" s="147"/>
      <x:c r="S1" s="147"/>
      <x:c r="T1" s="147"/>
    </x:row>
    <x:row r="2" ht="42" customHeight="1">
      <x:c r="A2"/>
      <x:c r="B2"/>
      <x:c r="C2"/>
    </x:row>
    <x:row r="3" ht="22.5" customHeight="1">
      <x:c r="A3" s="144" t="s">
        <x:v>35</x:v>
      </x:c>
      <x:c r="B3" s="145"/>
      <x:c r="C3" s="146"/>
    </x:row>
    <x:row r="4" ht="17.25">
      <x:c r="A4" s="44"/>
      <x:c r="B4" s="45"/>
      <x:c r="C4" s="46"/>
    </x:row>
    <x:row r="5" ht="17.25">
      <x:c r="A5" s="71" t="s">
        <x:v>36</x:v>
      </x:c>
      <x:c r="B5" s="72" t="str">
        <x:f>IF('SHOP MAY 2026 (3)'!B40="","",'SHOP MAY 2026 (3)'!B40)</x:f>
      </x:c>
      <x:c r="C5" s="47" t="str">
        <x:f>IFERROR(B5/B7,"")</x:f>
      </x:c>
    </x:row>
    <x:row r="6" ht="18">
      <x:c r="A6" s="73" t="s">
        <x:v>37</x:v>
      </x:c>
      <x:c r="B6" s="74" t="str">
        <x:f>IF('THIRD PARTY MAY 2026 (3)'!B39="","",'THIRD PARTY MAY 2026 (3)'!B39)</x:f>
      </x:c>
      <x:c r="C6" s="47" t="str">
        <x:f>IFERROR(B6/B7,"")</x:f>
      </x:c>
    </x:row>
    <x:row r="7" ht="16.5">
      <x:c r="A7" s="43"/>
      <x:c r="B7" s="42" t="str">
        <x:f>IF(SUM(B5:B6)=0,"",SUM(B5:B6))</x:f>
      </x:c>
      <x:c r="C7" s="48" t="str">
        <x:f>IF(SUM(C5:C6)=0,"",SUM(C5:C6))</x:f>
      </x:c>
    </x:row>
  </x:sheetData>
  <x:mergeCells>
    <x:mergeCell ref="A3:C3"/>
    <x:mergeCell ref="A1:T1"/>
  </x:mergeCells>
  <x:pageMargins left="0.7" right="0.7" top="0.75" bottom="0.75" header="0.3" footer="0.3"/>
  <x:drawing xmlns:r="http://schemas.openxmlformats.org/officeDocument/2006/relationships" r:id="R86cad615b4914aa0"/>
</x:worksheet>
</file>

<file path=xl/worksheets/sheet12.xml><?xml version="1.0" encoding="utf-8"?>
<x:worksheet xmlns:x="http://schemas.openxmlformats.org/spreadsheetml/2006/main">
  <x:sheetPr>
    <x:tabColor rgb="FFFF33CC"/>
  </x:sheetPr>
  <x:sheetFormatPr defaultRowHeight="15"/>
  <x:cols>
    <x:col min="1" max="1" width="23.28515625" style="14" customWidth="1"/>
    <x:col min="2" max="2" width="15.5703125" style="6" customWidth="1"/>
    <x:col min="3" max="3" width="19" customWidth="1"/>
    <x:col min="4" max="4" width="13.85546875" style="20" customWidth="1"/>
    <x:col min="5" max="5" width="20.5703125" style="20" customWidth="1"/>
    <x:col min="6" max="6" width="13.85546875" style="8" customWidth="1"/>
    <x:col min="7" max="7" width="13.85546875" style="9" customWidth="1"/>
    <x:col min="9" max="9" width="17" customWidth="1"/>
    <x:col min="10" max="10" width="13.140625" customWidth="1"/>
    <x:col min="11" max="11" width="9.140625" customWidth="1"/>
  </x:cols>
  <x:sheetData>
    <x:row r="2" ht="18">
      <x:c r="A2" s="16" t="str">
        <x:v>DAILY SALES (6B)  - JUNE 2026</x:v>
      </x:c>
      <x:c r="B2" s="16"/>
      <x:c r="C2" s="16"/>
      <x:c r="D2" s="18"/>
      <x:c r="E2" s="18"/>
      <x:c r="F2" s="16"/>
      <x:c r="G2" s="18"/>
      <x:c r="H2" s="16"/>
      <x:c r="I2" s="16"/>
      <x:c r="J2" s="16"/>
      <x:c r="K2" s="16"/>
      <x:c r="L2" s="16"/>
      <x:c r="M2" s="16"/>
      <x:c r="N2" s="16"/>
      <x:c r="O2" s="16"/>
      <x:c r="P2" s="16"/>
    </x:row>
    <x:row r="3" ht="18">
      <x:c r="B3" s="24"/>
      <x:c r="C3" s="24"/>
      <x:c r="D3" s="18"/>
      <x:c r="E3" s="18"/>
      <x:c r="F3" s="24"/>
      <x:c r="G3" s="24"/>
      <x:c r="H3" s="24"/>
      <x:c r="I3" s="24"/>
      <x:c r="J3" s="24"/>
      <x:c r="K3" s="24"/>
      <x:c r="L3" s="24"/>
      <x:c r="M3" s="24"/>
      <x:c r="N3" s="24"/>
      <x:c r="O3" s="24"/>
      <x:c r="P3" s="24"/>
    </x:row>
    <x:row r="4" ht="16.5">
      <x:c r="B4" s="11"/>
      <x:c r="C4" s="1"/>
      <x:c r="D4" s="19"/>
      <x:c r="E4" s="19"/>
      <x:c r="F4" s="12"/>
      <x:c r="G4" s="13"/>
      <x:c r="H4" s="1"/>
      <x:c r="I4" s="1"/>
      <x:c r="J4" s="1"/>
      <x:c r="K4" s="1"/>
      <x:c r="L4" s="1"/>
      <x:c r="M4" s="1"/>
      <x:c r="N4" s="1"/>
      <x:c r="O4" s="1"/>
      <x:c r="P4" s="1"/>
    </x:row>
    <x:row r="5" ht="16.5">
      <x:c r="A5" s="21" t="s">
        <x:v>21</x:v>
      </x:c>
      <x:c r="B5" s="22" t="s">
        <x:v>22</x:v>
      </x:c>
      <x:c r="C5" s="106" t="s">
        <x:v>23</x:v>
      </x:c>
      <x:c r="D5" s="139" t="s">
        <x:v>24</x:v>
      </x:c>
      <x:c r="E5" s="140"/>
      <x:c r="F5" s="139" t="s">
        <x:v>25</x:v>
      </x:c>
      <x:c r="G5" s="141"/>
      <x:c r="H5" s="2"/>
      <x:c r="I5" s="135" t="s">
        <x:v>26</x:v>
      </x:c>
      <x:c r="J5" s="135"/>
      <x:c r="K5" s="135"/>
      <x:c r="L5" s="1"/>
      <x:c r="M5" s="1"/>
      <x:c r="N5" s="1"/>
      <x:c r="O5" s="1"/>
      <x:c r="P5" s="1"/>
    </x:row>
    <x:row r="6" ht="16.5">
      <x:c r="A6" s="21"/>
      <x:c r="B6" s="22"/>
      <x:c r="C6" s="23"/>
      <x:c r="D6" s="26" t="s">
        <x:v>27</x:v>
      </x:c>
      <x:c r="E6" s="26" t="s">
        <x:v>28</x:v>
      </x:c>
      <x:c r="F6" s="26" t="s">
        <x:v>29</x:v>
      </x:c>
      <x:c r="G6" s="26" t="s">
        <x:v>30</x:v>
      </x:c>
      <x:c r="H6" s="2"/>
      <x:c r="I6" s="17"/>
      <x:c r="J6" s="17"/>
      <x:c r="K6" s="17"/>
      <x:c r="L6" s="1"/>
      <x:c r="M6" s="1"/>
      <x:c r="N6" s="1"/>
      <x:c r="O6" s="1"/>
      <x:c r="P6" s="1"/>
    </x:row>
    <x:row r="7" ht="16.5">
      <x:c r="A7" s="15"/>
      <x:c r="B7" s="7"/>
      <x:c r="C7" s="5"/>
      <x:c r="D7" s="17"/>
      <x:c r="E7" s="17"/>
      <x:c r="F7" s="17"/>
      <x:c r="G7" s="17"/>
      <x:c r="H7" s="2"/>
      <x:c r="I7" s="17"/>
      <x:c r="J7" s="17"/>
      <x:c r="K7" s="17"/>
      <x:c r="L7" s="1"/>
      <x:c r="M7" s="1"/>
      <x:c r="N7" s="1"/>
      <x:c r="O7" s="1"/>
      <x:c r="P7" s="1"/>
    </x:row>
    <x:row r="8" ht="16.5">
      <x:c r="A8" s="171" t="n">
        <x:v>46174</x:v>
      </x:c>
      <x:c r="B8" s="98" t="str">
        <x:f t="shared" ref="B8:B37" si="0">IF(SUM(C8:G8)=0,"",SUM(C8:G8))</x:f>
      </x:c>
      <x:c r="C8" s="99"/>
      <x:c r="D8" s="100"/>
      <x:c r="E8" s="100"/>
      <x:c r="F8" s="53" t="str">
        <x:f>IF('RETAIL &amp; PRINT'!I11="","",'RETAIL &amp; PRINT'!I11)</x:f>
      </x:c>
      <x:c r="G8" s="53" t="str">
        <x:f>IF(F8="","",F8*10%)</x:f>
      </x:c>
      <x:c r="H8" s="1"/>
      <x:c r="I8" s="3" t="str">
        <x:f>C5</x:f>
        <x:v>Footwear</x:v>
      </x:c>
      <x:c r="J8" s="10" t="str">
        <x:f>IF(C39="","",C39)</x:f>
      </x:c>
      <x:c r="K8" s="4" t="str">
        <x:f>IFERROR(C39/B40,"")</x:f>
      </x:c>
      <x:c r="L8" s="1"/>
      <x:c r="M8" s="1"/>
      <x:c r="N8" s="1"/>
      <x:c r="O8" s="1"/>
      <x:c r="P8" s="1"/>
    </x:row>
    <x:row r="9" ht="16.5">
      <x:c r="A9" s="171" t="n">
        <x:v>46175</x:v>
      </x:c>
      <x:c r="B9" s="98" t="str">
        <x:f t="shared" si="0">IF(SUM(C9:G9)=0,"",SUM(C9:G9))</x:f>
      </x:c>
      <x:c r="C9" s="99"/>
      <x:c r="D9" s="100"/>
      <x:c r="E9" s="100"/>
      <x:c r="F9" s="53" t="str">
        <x:f>IF('RETAIL &amp; PRINT'!I12="","",'RETAIL &amp; PRINT'!I12)</x:f>
      </x:c>
      <x:c r="G9" s="53" t="str">
        <x:f t="shared" ref="G9:G37" si="1">IF(F9="","",F9*10%)</x:f>
      </x:c>
      <x:c r="H9" s="1"/>
      <x:c r="I9" s="3" t="str">
        <x:f>D5</x:f>
        <x:v>Deep Cleaning</x:v>
      </x:c>
      <x:c r="J9" s="10" t="str">
        <x:f>IF(D40="","",D40)</x:f>
      </x:c>
      <x:c r="K9" s="4" t="str">
        <x:f>IFERROR(D40/$B$40,"")</x:f>
      </x:c>
      <x:c r="L9" s="1"/>
      <x:c r="M9" s="1"/>
      <x:c r="N9" s="1"/>
      <x:c r="O9" s="1"/>
      <x:c r="P9" s="1"/>
    </x:row>
    <x:row r="10" ht="16.5">
      <x:c r="A10" s="171" t="n">
        <x:v>46176</x:v>
      </x:c>
      <x:c r="B10" s="98" t="str">
        <x:f t="shared" si="0">IF(SUM(C10:G10)=0,"",SUM(C10:G10))</x:f>
      </x:c>
      <x:c r="C10" s="99"/>
      <x:c r="D10" s="100"/>
      <x:c r="E10" s="100"/>
      <x:c r="F10" s="53" t="str">
        <x:f>IF('RETAIL &amp; PRINT'!I13="","",'RETAIL &amp; PRINT'!I13)</x:f>
      </x:c>
      <x:c r="G10" s="53" t="str">
        <x:f t="shared" si="1">IF(F10="","",F10*10%)</x:f>
      </x:c>
      <x:c r="H10" s="1"/>
      <x:c r="I10" s="3" t="str">
        <x:f>F5</x:f>
        <x:v>Print &amp; Retail</x:v>
      </x:c>
      <x:c r="J10" s="10" t="str">
        <x:f>IF(F40="","",F40)</x:f>
      </x:c>
      <x:c r="K10" s="4" t="str">
        <x:f>IFERROR(SUM(F39:G39)/B40,"")</x:f>
      </x:c>
      <x:c r="L10" s="1"/>
      <x:c r="M10" s="1"/>
      <x:c r="N10" s="1"/>
      <x:c r="O10" s="1"/>
      <x:c r="P10" s="1"/>
    </x:row>
    <x:row r="11" ht="16.5">
      <x:c r="A11" s="171" t="n">
        <x:v>46177</x:v>
      </x:c>
      <x:c r="B11" s="98" t="str">
        <x:f t="shared" si="0">IF(SUM(C11:G11)=0,"",SUM(C11:G11))</x:f>
      </x:c>
      <x:c r="C11" s="99"/>
      <x:c r="D11" s="100"/>
      <x:c r="E11" s="100"/>
      <x:c r="F11" s="53" t="str">
        <x:f>IF('RETAIL &amp; PRINT'!I14="","",'RETAIL &amp; PRINT'!I14)</x:f>
      </x:c>
      <x:c r="G11" s="53" t="str">
        <x:f t="shared" si="1">IF(F11="","",F11*10%)</x:f>
      </x:c>
      <x:c r="H11" s="1"/>
      <x:c r="I11" s="3"/>
      <x:c r="J11" s="10"/>
      <x:c r="K11" s="4"/>
      <x:c r="L11" s="1"/>
      <x:c r="M11" s="1"/>
      <x:c r="N11" s="1"/>
      <x:c r="O11" s="1"/>
      <x:c r="P11" s="1"/>
    </x:row>
    <x:row r="12" ht="16.5">
      <x:c r="A12" s="171" t="n">
        <x:v>46178</x:v>
      </x:c>
      <x:c r="B12" s="98" t="str">
        <x:f t="shared" si="0">IF(SUM(C12:G12)=0,"",SUM(C12:G12))</x:f>
      </x:c>
      <x:c r="C12" s="99"/>
      <x:c r="D12" s="100"/>
      <x:c r="E12" s="100"/>
      <x:c r="F12" s="53" t="str">
        <x:f>IF('RETAIL &amp; PRINT'!I15="","",'RETAIL &amp; PRINT'!I15)</x:f>
      </x:c>
      <x:c r="G12" s="53" t="str">
        <x:f t="shared" si="1">IF(F12="","",F12*10%)</x:f>
      </x:c>
      <x:c r="H12" s="1"/>
      <x:c r="I12" s="3"/>
      <x:c r="J12" s="10" t="str">
        <x:f>IF(SUM(J8:J11)=0,"",SUM(J8:J11))</x:f>
      </x:c>
      <x:c r="K12" s="4" t="str">
        <x:f>IF(SUM(K8:K11)=0,"",SUM(K8:K11))</x:f>
      </x:c>
      <x:c r="L12" s="1"/>
      <x:c r="M12" s="1"/>
      <x:c r="N12" s="1"/>
      <x:c r="O12" s="1"/>
      <x:c r="P12" s="1"/>
    </x:row>
    <x:row r="13" ht="16.5">
      <x:c r="A13" s="171" t="n">
        <x:v>46179</x:v>
      </x:c>
      <x:c r="B13" s="98" t="str">
        <x:f t="shared" si="0">IF(SUM(C13:G13)=0,"",SUM(C13:G13))</x:f>
      </x:c>
      <x:c r="C13" s="99"/>
      <x:c r="D13" s="100"/>
      <x:c r="E13" s="100"/>
      <x:c r="F13" s="53" t="str">
        <x:f>IF('RETAIL &amp; PRINT'!I16="","",'RETAIL &amp; PRINT'!I16)</x:f>
      </x:c>
      <x:c r="G13" s="53" t="str">
        <x:f t="shared" si="1">IF(F13="","",F13*10%)</x:f>
      </x:c>
      <x:c r="H13" s="1"/>
      <x:c r="I13" s="1"/>
      <x:c r="J13" s="1"/>
      <x:c r="K13" s="1"/>
      <x:c r="L13" s="1"/>
      <x:c r="M13" s="1"/>
      <x:c r="N13" s="1"/>
      <x:c r="O13" s="1"/>
      <x:c r="P13" s="1"/>
    </x:row>
    <x:row r="14" ht="16.5">
      <x:c r="A14" s="171" t="n">
        <x:v>46180</x:v>
      </x:c>
      <x:c r="B14" s="98" t="str">
        <x:f t="shared" si="0">IF(SUM(C14:G14)=0,"",SUM(C14:G14))</x:f>
      </x:c>
      <x:c r="C14" s="99"/>
      <x:c r="D14" s="100"/>
      <x:c r="E14" s="100"/>
      <x:c r="F14" s="53" t="str">
        <x:f>IF('RETAIL &amp; PRINT'!I17="","",'RETAIL &amp; PRINT'!I17)</x:f>
      </x:c>
      <x:c r="G14" s="53" t="str">
        <x:f t="shared" si="1">IF(F14="","",F14*10%)</x:f>
      </x:c>
      <x:c r="H14" s="1"/>
      <x:c r="I14" s="1"/>
      <x:c r="J14" s="27"/>
      <x:c r="K14" s="28"/>
      <x:c r="L14" s="1"/>
      <x:c r="M14" s="1"/>
      <x:c r="N14" s="1"/>
      <x:c r="O14" s="1"/>
      <x:c r="P14" s="1"/>
    </x:row>
    <x:row r="15" ht="16.5">
      <x:c r="A15" s="171" t="n">
        <x:v>46181</x:v>
      </x:c>
      <x:c r="B15" s="98" t="str">
        <x:f t="shared" si="0">IF(SUM(C15:G15)=0,"",SUM(C15:G15))</x:f>
      </x:c>
      <x:c r="C15" s="99"/>
      <x:c r="D15" s="100"/>
      <x:c r="E15" s="100"/>
      <x:c r="F15" s="53" t="str">
        <x:f>IF('RETAIL &amp; PRINT'!I18="","",'RETAIL &amp; PRINT'!I18)</x:f>
      </x:c>
      <x:c r="G15" s="53" t="str">
        <x:f t="shared" si="1">IF(F15="","",F15*10%)</x:f>
      </x:c>
      <x:c r="H15" s="1"/>
      <x:c r="I15" s="1"/>
      <x:c r="J15" s="1"/>
      <x:c r="K15" s="1"/>
      <x:c r="L15" s="1"/>
      <x:c r="M15" s="1"/>
      <x:c r="N15" s="1"/>
      <x:c r="O15" s="1"/>
      <x:c r="P15" s="1"/>
    </x:row>
    <x:row r="16" ht="16.5">
      <x:c r="A16" s="171" t="n">
        <x:v>46182</x:v>
      </x:c>
      <x:c r="B16" s="98" t="str">
        <x:f t="shared" si="0">IF(SUM(C16:G16)=0,"",SUM(C16:G16))</x:f>
      </x:c>
      <x:c r="C16" s="99"/>
      <x:c r="D16" s="100"/>
      <x:c r="E16" s="100"/>
      <x:c r="F16" s="53" t="str">
        <x:f>IF('RETAIL &amp; PRINT'!I19="","",'RETAIL &amp; PRINT'!I19)</x:f>
      </x:c>
      <x:c r="G16" s="53" t="str">
        <x:f t="shared" si="1">IF(F16="","",F16*10%)</x:f>
      </x:c>
      <x:c r="H16" s="1"/>
      <x:c r="I16" s="1"/>
      <x:c r="J16" s="1"/>
      <x:c r="K16" s="1"/>
      <x:c r="L16" s="1"/>
      <x:c r="M16" s="1"/>
      <x:c r="N16" s="1"/>
      <x:c r="O16" s="1"/>
      <x:c r="P16" s="1"/>
    </x:row>
    <x:row r="17" ht="16.5">
      <x:c r="A17" s="171" t="n">
        <x:v>46183</x:v>
      </x:c>
      <x:c r="B17" s="98" t="str">
        <x:f t="shared" si="0">IF(SUM(C17:G17)=0,"",SUM(C17:G17))</x:f>
      </x:c>
      <x:c r="C17" s="99"/>
      <x:c r="D17" s="100"/>
      <x:c r="E17" s="100"/>
      <x:c r="F17" s="53" t="str">
        <x:f>IF('RETAIL &amp; PRINT'!I20="","",'RETAIL &amp; PRINT'!I20)</x:f>
      </x:c>
      <x:c r="G17" s="53" t="str">
        <x:f t="shared" si="1">IF(F17="","",F17*10%)</x:f>
      </x:c>
      <x:c r="H17" s="1"/>
      <x:c r="I17" s="1"/>
      <x:c r="J17" s="1"/>
      <x:c r="K17" s="1"/>
      <x:c r="L17" s="1"/>
      <x:c r="M17" s="1"/>
      <x:c r="N17" s="1"/>
      <x:c r="O17" s="1"/>
      <x:c r="P17" s="1"/>
    </x:row>
    <x:row r="18" ht="16.5">
      <x:c r="A18" s="171" t="n">
        <x:v>46184</x:v>
      </x:c>
      <x:c r="B18" s="98" t="str">
        <x:f t="shared" si="0">IF(SUM(C18:G18)=0,"",SUM(C18:G18))</x:f>
      </x:c>
      <x:c r="C18" s="99"/>
      <x:c r="D18" s="100"/>
      <x:c r="E18" s="100"/>
      <x:c r="F18" s="53" t="str">
        <x:f>IF('RETAIL &amp; PRINT'!I21="","",'RETAIL &amp; PRINT'!I21)</x:f>
      </x:c>
      <x:c r="G18" s="53" t="str">
        <x:f t="shared" si="1">IF(F18="","",F18*10%)</x:f>
      </x:c>
      <x:c r="H18" s="1"/>
      <x:c r="I18" s="1"/>
      <x:c r="J18" s="1"/>
      <x:c r="K18" s="1"/>
      <x:c r="L18" s="1"/>
      <x:c r="M18" s="1"/>
      <x:c r="N18" s="1"/>
      <x:c r="O18" s="1"/>
      <x:c r="P18" s="1"/>
    </x:row>
    <x:row r="19" ht="16.5">
      <x:c r="A19" s="171" t="n">
        <x:v>46185</x:v>
      </x:c>
      <x:c r="B19" s="98" t="str">
        <x:f t="shared" si="0">IF(SUM(C19:G19)=0,"",SUM(C19:G19))</x:f>
      </x:c>
      <x:c r="C19" s="99"/>
      <x:c r="D19" s="100"/>
      <x:c r="E19" s="100"/>
      <x:c r="F19" s="53" t="str">
        <x:f>IF('RETAIL &amp; PRINT'!I22="","",'RETAIL &amp; PRINT'!I22)</x:f>
      </x:c>
      <x:c r="G19" s="53" t="str">
        <x:f t="shared" si="1">IF(F19="","",F19*10%)</x:f>
      </x:c>
      <x:c r="H19" s="1"/>
      <x:c r="I19" s="1"/>
      <x:c r="J19" s="1"/>
      <x:c r="K19" s="1"/>
      <x:c r="L19" s="1"/>
      <x:c r="M19" s="1"/>
      <x:c r="N19" s="1"/>
      <x:c r="O19" s="1"/>
      <x:c r="P19" s="1"/>
    </x:row>
    <x:row r="20" ht="16.5">
      <x:c r="A20" s="171" t="n">
        <x:v>46186</x:v>
      </x:c>
      <x:c r="B20" s="98" t="str">
        <x:f t="shared" si="0">IF(SUM(C20:G20)=0,"",SUM(C20:G20))</x:f>
      </x:c>
      <x:c r="C20" s="99"/>
      <x:c r="D20" s="100"/>
      <x:c r="E20" s="100"/>
      <x:c r="F20" s="53" t="str">
        <x:f>IF('RETAIL &amp; PRINT'!I23="","",'RETAIL &amp; PRINT'!I23)</x:f>
      </x:c>
      <x:c r="G20" s="53" t="str">
        <x:f t="shared" si="1">IF(F20="","",F20*10%)</x:f>
      </x:c>
      <x:c r="H20" s="1"/>
      <x:c r="I20" s="1"/>
      <x:c r="J20" s="1"/>
      <x:c r="K20" s="1"/>
      <x:c r="L20" s="1"/>
      <x:c r="M20" s="1"/>
      <x:c r="N20" s="1"/>
      <x:c r="O20" s="1"/>
      <x:c r="P20" s="1"/>
    </x:row>
    <x:row r="21" ht="16.5">
      <x:c r="A21" s="171" t="n">
        <x:v>46187</x:v>
      </x:c>
      <x:c r="B21" s="98" t="str">
        <x:f t="shared" si="0">IF(SUM(C21:G21)=0,"",SUM(C21:G21))</x:f>
      </x:c>
      <x:c r="C21" s="99"/>
      <x:c r="D21" s="100"/>
      <x:c r="E21" s="100"/>
      <x:c r="F21" s="53" t="str">
        <x:f>IF('RETAIL &amp; PRINT'!I24="","",'RETAIL &amp; PRINT'!I24)</x:f>
      </x:c>
      <x:c r="G21" s="53" t="str">
        <x:f t="shared" si="1">IF(F21="","",F21*10%)</x:f>
      </x:c>
      <x:c r="H21" s="1"/>
      <x:c r="I21" s="1"/>
      <x:c r="J21" s="1"/>
      <x:c r="K21" s="1"/>
      <x:c r="L21" s="1"/>
      <x:c r="M21" s="1"/>
      <x:c r="N21" s="1"/>
      <x:c r="O21" s="1"/>
      <x:c r="P21" s="1"/>
    </x:row>
    <x:row r="22" ht="16.5">
      <x:c r="A22" s="171" t="n">
        <x:v>46188</x:v>
      </x:c>
      <x:c r="B22" s="98" t="str">
        <x:f t="shared" si="0">IF(SUM(C22:G22)=0,"",SUM(C22:G22))</x:f>
      </x:c>
      <x:c r="C22" s="99"/>
      <x:c r="D22" s="100"/>
      <x:c r="E22" s="100"/>
      <x:c r="F22" s="53" t="str">
        <x:f>IF('RETAIL &amp; PRINT'!I25="","",'RETAIL &amp; PRINT'!I25)</x:f>
      </x:c>
      <x:c r="G22" s="53" t="str">
        <x:f t="shared" si="1">IF(F22="","",F22*10%)</x:f>
      </x:c>
      <x:c r="H22" s="1"/>
      <x:c r="I22" s="1"/>
      <x:c r="J22" s="1"/>
      <x:c r="K22" s="1"/>
      <x:c r="L22" s="1"/>
      <x:c r="M22" s="1"/>
      <x:c r="N22" s="1"/>
      <x:c r="O22" s="1"/>
      <x:c r="P22" s="1"/>
    </x:row>
    <x:row r="23" ht="16.5">
      <x:c r="A23" s="171" t="n">
        <x:v>46189</x:v>
      </x:c>
      <x:c r="B23" s="98" t="str">
        <x:f t="shared" si="0">IF(SUM(C23:G23)=0,"",SUM(C23:G23))</x:f>
      </x:c>
      <x:c r="C23" s="99"/>
      <x:c r="D23" s="100"/>
      <x:c r="E23" s="100"/>
      <x:c r="F23" s="53" t="str">
        <x:f>IF('RETAIL &amp; PRINT'!I26="","",'RETAIL &amp; PRINT'!I26)</x:f>
      </x:c>
      <x:c r="G23" s="53" t="str">
        <x:f t="shared" si="1">IF(F23="","",F23*10%)</x:f>
      </x:c>
      <x:c r="H23" s="1"/>
      <x:c r="I23" s="1"/>
      <x:c r="J23" s="1"/>
      <x:c r="K23" s="1"/>
      <x:c r="L23" s="1"/>
      <x:c r="M23" s="1"/>
      <x:c r="N23" s="1"/>
      <x:c r="O23" s="1"/>
      <x:c r="P23" s="1"/>
    </x:row>
    <x:row r="24" ht="16.5">
      <x:c r="A24" s="171" t="n">
        <x:v>46190</x:v>
      </x:c>
      <x:c r="B24" s="98" t="str">
        <x:f t="shared" si="0">IF(SUM(C24:G24)=0,"",SUM(C24:G24))</x:f>
      </x:c>
      <x:c r="C24" s="99"/>
      <x:c r="D24" s="100"/>
      <x:c r="E24" s="100"/>
      <x:c r="F24" s="53" t="str">
        <x:f>IF('RETAIL &amp; PRINT'!I27="","",'RETAIL &amp; PRINT'!I27)</x:f>
      </x:c>
      <x:c r="G24" s="53" t="str">
        <x:f t="shared" si="1">IF(F24="","",F24*10%)</x:f>
      </x:c>
      <x:c r="H24" s="1"/>
      <x:c r="I24" s="1"/>
      <x:c r="J24" s="1"/>
      <x:c r="K24" s="1"/>
      <x:c r="L24" s="1"/>
      <x:c r="M24" s="1"/>
      <x:c r="N24" s="1"/>
      <x:c r="O24" s="1"/>
      <x:c r="P24" s="1"/>
    </x:row>
    <x:row r="25" ht="16.5">
      <x:c r="A25" s="171" t="n">
        <x:v>46191</x:v>
      </x:c>
      <x:c r="B25" s="98" t="str">
        <x:f t="shared" si="0">IF(SUM(C25:G25)=0,"",SUM(C25:G25))</x:f>
      </x:c>
      <x:c r="C25" s="99"/>
      <x:c r="D25" s="100"/>
      <x:c r="E25" s="100"/>
      <x:c r="F25" s="53" t="str">
        <x:f>IF('RETAIL &amp; PRINT'!I28="","",'RETAIL &amp; PRINT'!I28)</x:f>
      </x:c>
      <x:c r="G25" s="53" t="str">
        <x:f t="shared" si="1">IF(F25="","",F25*10%)</x:f>
      </x:c>
      <x:c r="H25" s="1"/>
      <x:c r="I25" s="34"/>
      <x:c r="J25" s="34"/>
      <x:c r="K25" s="34"/>
      <x:c r="L25" s="1"/>
      <x:c r="M25" s="1"/>
      <x:c r="N25" s="1"/>
      <x:c r="O25" s="1"/>
      <x:c r="P25" s="1"/>
    </x:row>
    <x:row r="26" ht="16.5">
      <x:c r="A26" s="171" t="n">
        <x:v>46192</x:v>
      </x:c>
      <x:c r="B26" s="98" t="str">
        <x:f t="shared" si="0">IF(SUM(C26:G26)=0,"",SUM(C26:G26))</x:f>
      </x:c>
      <x:c r="C26" s="99"/>
      <x:c r="D26" s="100"/>
      <x:c r="E26" s="100"/>
      <x:c r="F26" s="53" t="str">
        <x:f>IF('RETAIL &amp; PRINT'!I29="","",'RETAIL &amp; PRINT'!I29)</x:f>
      </x:c>
      <x:c r="G26" s="53" t="str">
        <x:f t="shared" si="1">IF(F26="","",F26*10%)</x:f>
      </x:c>
      <x:c r="H26" s="1"/>
      <x:c r="I26" s="33"/>
      <x:c r="J26" s="33"/>
      <x:c r="K26" s="33"/>
      <x:c r="L26" s="1"/>
      <x:c r="M26" s="1"/>
      <x:c r="N26" s="1"/>
      <x:c r="O26" s="1"/>
      <x:c r="P26" s="1"/>
    </x:row>
    <x:row r="27" ht="16.5">
      <x:c r="A27" s="171" t="n">
        <x:v>46193</x:v>
      </x:c>
      <x:c r="B27" s="98" t="str">
        <x:f t="shared" si="0">IF(SUM(C27:G27)=0,"",SUM(C27:G27))</x:f>
      </x:c>
      <x:c r="C27" s="99"/>
      <x:c r="D27" s="100"/>
      <x:c r="E27" s="100"/>
      <x:c r="F27" s="53" t="str">
        <x:f>IF('RETAIL &amp; PRINT'!I30="","",'RETAIL &amp; PRINT'!I30)</x:f>
      </x:c>
      <x:c r="G27" s="53" t="str">
        <x:f>IF(F27="","",F27*10%)</x:f>
      </x:c>
      <x:c r="H27" s="1"/>
      <x:c r="I27" s="34"/>
      <x:c r="J27" s="35"/>
      <x:c r="K27" s="36"/>
      <x:c r="L27" s="1"/>
      <x:c r="M27" s="1"/>
      <x:c r="N27" s="1"/>
      <x:c r="O27" s="1"/>
      <x:c r="P27" s="1"/>
    </x:row>
    <x:row r="28" ht="16.5">
      <x:c r="A28" s="171" t="n">
        <x:v>46194</x:v>
      </x:c>
      <x:c r="B28" s="98" t="str">
        <x:f t="shared" si="0">IF(SUM(C28:G28)=0,"",SUM(C28:G28))</x:f>
      </x:c>
      <x:c r="C28" s="99"/>
      <x:c r="D28" s="100"/>
      <x:c r="E28" s="100"/>
      <x:c r="F28" s="53" t="str">
        <x:f>IF('RETAIL &amp; PRINT'!I31="","",'RETAIL &amp; PRINT'!I31)</x:f>
      </x:c>
      <x:c r="G28" s="53" t="str">
        <x:f t="shared" si="1">IF(F28="","",F28*10%)</x:f>
      </x:c>
      <x:c r="H28" s="1"/>
      <x:c r="I28" s="34"/>
      <x:c r="J28" s="37"/>
      <x:c r="K28" s="36"/>
      <x:c r="L28" s="1"/>
      <x:c r="M28" s="1"/>
      <x:c r="N28" s="1"/>
      <x:c r="O28" s="1"/>
      <x:c r="P28" s="1"/>
    </x:row>
    <x:row r="29" ht="16.5">
      <x:c r="A29" s="171" t="n">
        <x:v>46195</x:v>
      </x:c>
      <x:c r="B29" s="98" t="str">
        <x:f t="shared" si="0">IF(SUM(C29:G29)=0,"",SUM(C29:G29))</x:f>
      </x:c>
      <x:c r="C29" s="99"/>
      <x:c r="D29" s="103"/>
      <x:c r="E29" s="103"/>
      <x:c r="F29" s="53" t="str">
        <x:f>IF('RETAIL &amp; PRINT'!I32="","",'RETAIL &amp; PRINT'!I32)</x:f>
      </x:c>
      <x:c r="G29" s="53" t="str">
        <x:f t="shared" si="1">IF(F29="","",F29*10%)</x:f>
      </x:c>
      <x:c r="H29" s="1"/>
      <x:c r="I29" s="1"/>
      <x:c r="J29" s="29"/>
      <x:c r="K29" s="30"/>
      <x:c r="L29" s="1"/>
      <x:c r="M29" s="1"/>
      <x:c r="N29" s="1"/>
      <x:c r="O29" s="1"/>
      <x:c r="P29" s="1"/>
    </x:row>
    <x:row r="30" ht="16.5">
      <x:c r="A30" s="171" t="n">
        <x:v>46196</x:v>
      </x:c>
      <x:c r="B30" s="98" t="str">
        <x:f t="shared" si="0">IF(SUM(C30:G30)=0,"",SUM(C30:G30))</x:f>
      </x:c>
      <x:c r="C30" s="99"/>
      <x:c r="D30" s="100"/>
      <x:c r="E30" s="100"/>
      <x:c r="F30" s="53" t="str">
        <x:f>IF('RETAIL &amp; PRINT'!I33="","",'RETAIL &amp; PRINT'!I33)</x:f>
      </x:c>
      <x:c r="G30" s="53" t="str">
        <x:f t="shared" si="1">IF(F30="","",F30*10%)</x:f>
      </x:c>
      <x:c r="H30" s="1"/>
      <x:c r="I30" s="1"/>
      <x:c r="J30" s="31"/>
      <x:c r="K30" s="30"/>
      <x:c r="L30" s="1"/>
      <x:c r="M30" s="1"/>
      <x:c r="N30" s="1"/>
      <x:c r="O30" s="1"/>
      <x:c r="P30" s="1"/>
    </x:row>
    <x:row r="31" ht="16.5">
      <x:c r="A31" s="171" t="n">
        <x:v>46197</x:v>
      </x:c>
      <x:c r="B31" s="98" t="str">
        <x:f t="shared" si="0">IF(SUM(C31:G31)=0,"",SUM(C31:G31))</x:f>
      </x:c>
      <x:c r="C31" s="99"/>
      <x:c r="D31" s="100"/>
      <x:c r="E31" s="100"/>
      <x:c r="F31" s="53" t="str">
        <x:f>IF('RETAIL &amp; PRINT'!I34="","",'RETAIL &amp; PRINT'!I34)</x:f>
      </x:c>
      <x:c r="G31" s="53" t="str">
        <x:f t="shared" si="1">IF(F31="","",F31*10%)</x:f>
      </x:c>
      <x:c r="I31" s="1"/>
      <x:c r="J31" s="29"/>
      <x:c r="K31" s="30"/>
      <x:c r="L31" s="1"/>
      <x:c r="M31" s="1"/>
      <x:c r="N31" s="1"/>
      <x:c r="O31" s="1"/>
      <x:c r="P31" s="1"/>
    </x:row>
    <x:row r="32" ht="16.5">
      <x:c r="A32" s="171" t="n">
        <x:v>46198</x:v>
      </x:c>
      <x:c r="B32" s="98" t="str">
        <x:f t="shared" si="0">IF(SUM(C32:G32)=0,"",SUM(C32:G32))</x:f>
      </x:c>
      <x:c r="C32" s="99"/>
      <x:c r="D32" s="100"/>
      <x:c r="E32" s="100"/>
      <x:c r="F32" s="53" t="str">
        <x:f>IF('RETAIL &amp; PRINT'!I35="","",'RETAIL &amp; PRINT'!I35)</x:f>
      </x:c>
      <x:c r="G32" s="53" t="str">
        <x:f t="shared" si="1">IF(F32="","",F32*10%)</x:f>
      </x:c>
      <x:c r="H32" s="1"/>
      <x:c r="I32" s="1"/>
      <x:c r="J32" s="31"/>
      <x:c r="K32" s="30"/>
      <x:c r="L32" s="1"/>
      <x:c r="M32" s="1"/>
      <x:c r="N32" s="1"/>
      <x:c r="O32" s="1"/>
      <x:c r="P32" s="1"/>
    </x:row>
    <x:row r="33" ht="16.5">
      <x:c r="A33" s="171" t="n">
        <x:v>46199</x:v>
      </x:c>
      <x:c r="B33" s="98" t="str">
        <x:f t="shared" si="0">IF(SUM(C33:G33)=0,"",SUM(C33:G33))</x:f>
      </x:c>
      <x:c r="C33" s="99"/>
      <x:c r="D33" s="100"/>
      <x:c r="E33" s="100"/>
      <x:c r="F33" s="53" t="str">
        <x:f>IF('RETAIL &amp; PRINT'!I36="","",'RETAIL &amp; PRINT'!I36)</x:f>
      </x:c>
      <x:c r="G33" s="53" t="str">
        <x:f t="shared" si="1">IF(F33="","",F33*10%)</x:f>
      </x:c>
      <x:c r="H33" s="1"/>
      <x:c r="I33" s="1"/>
      <x:c r="J33" s="32"/>
      <x:c r="K33" s="30"/>
      <x:c r="L33" s="1"/>
      <x:c r="M33" s="1"/>
      <x:c r="N33" s="1"/>
      <x:c r="O33" s="1"/>
      <x:c r="P33" s="1"/>
    </x:row>
    <x:row r="34" ht="16.5">
      <x:c r="A34" s="171" t="n">
        <x:v>46200</x:v>
      </x:c>
      <x:c r="B34" s="98" t="str">
        <x:f t="shared" si="0">IF(SUM(C34:G34)=0,"",SUM(C34:G34))</x:f>
      </x:c>
      <x:c r="C34" s="99"/>
      <x:c r="D34" s="100"/>
      <x:c r="E34" s="100"/>
      <x:c r="F34" s="53" t="str">
        <x:f>IF('RETAIL &amp; PRINT'!I37="","",'RETAIL &amp; PRINT'!I37)</x:f>
      </x:c>
      <x:c r="G34" s="53" t="str">
        <x:f t="shared" si="1">IF(F34="","",F34*10%)</x:f>
      </x:c>
      <x:c r="H34" s="1"/>
      <x:c r="I34" s="1"/>
      <x:c r="J34" s="1"/>
      <x:c r="K34" s="1"/>
      <x:c r="L34" s="1"/>
      <x:c r="M34" s="1"/>
      <x:c r="N34" s="1"/>
      <x:c r="O34" s="1"/>
      <x:c r="P34" s="1"/>
    </x:row>
    <x:row r="35" ht="16.5">
      <x:c r="A35" s="171" t="n">
        <x:v>46201</x:v>
      </x:c>
      <x:c r="B35" s="98" t="str">
        <x:f t="shared" si="0">IF(SUM(C35:G35)=0,"",SUM(C35:G35))</x:f>
      </x:c>
      <x:c r="C35" s="99"/>
      <x:c r="D35" s="100"/>
      <x:c r="E35" s="100"/>
      <x:c r="F35" s="53" t="str">
        <x:f>IF('RETAIL &amp; PRINT'!I38="","",'RETAIL &amp; PRINT'!I38)</x:f>
      </x:c>
      <x:c r="G35" s="53" t="str">
        <x:f t="shared" si="1">IF(F35="","",F35*10%)</x:f>
      </x:c>
      <x:c r="H35" s="1"/>
      <x:c r="I35" s="1"/>
      <x:c r="J35" s="1"/>
      <x:c r="K35" s="1"/>
      <x:c r="L35" s="1"/>
      <x:c r="M35" s="1"/>
      <x:c r="N35" s="1"/>
      <x:c r="O35" s="1"/>
      <x:c r="P35" s="1"/>
    </x:row>
    <x:row r="36" ht="16.5">
      <x:c r="A36" s="171" t="n">
        <x:v>46202</x:v>
      </x:c>
      <x:c r="B36" s="98" t="str">
        <x:f t="shared" si="0">IF(SUM(C36:G36)=0,"",SUM(C36:G36))</x:f>
      </x:c>
      <x:c r="C36" s="99"/>
      <x:c r="D36" s="100"/>
      <x:c r="E36" s="100"/>
      <x:c r="F36" s="53" t="str">
        <x:f>IF('RETAIL &amp; PRINT'!I39="","",'RETAIL &amp; PRINT'!I39)</x:f>
      </x:c>
      <x:c r="G36" s="53" t="str">
        <x:f t="shared" si="1">IF(F36="","",F36*10%)</x:f>
      </x:c>
      <x:c r="H36" s="1"/>
      <x:c r="I36" s="1"/>
      <x:c r="J36" s="1"/>
      <x:c r="K36" s="1"/>
      <x:c r="L36" s="1"/>
      <x:c r="M36" s="1"/>
      <x:c r="N36" s="1"/>
      <x:c r="O36" s="1"/>
      <x:c r="P36" s="1"/>
    </x:row>
    <x:row r="37" ht="16.5">
      <x:c r="A37" s="171" t="n">
        <x:v>46203</x:v>
      </x:c>
      <x:c r="B37" s="98" t="str">
        <x:f t="shared" si="0">IF(SUM(C37:G37)=0,"",SUM(C37:G37))</x:f>
      </x:c>
      <x:c r="C37" s="53"/>
      <x:c r="D37" s="54"/>
      <x:c r="E37" s="54"/>
      <x:c r="F37" s="53" t="str">
        <x:f>IF('RETAIL &amp; PRINT'!I40="","",'RETAIL &amp; PRINT'!I40)</x:f>
      </x:c>
      <x:c r="G37" s="53" t="str">
        <x:f t="shared" si="1">IF(F37="","",F37*10%)</x:f>
      </x:c>
      <x:c r="H37" s="1"/>
      <x:c r="I37" s="1"/>
      <x:c r="J37" s="1"/>
      <x:c r="K37" s="1"/>
      <x:c r="L37" s="1"/>
      <x:c r="M37" s="1"/>
      <x:c r="N37" s="1"/>
      <x:c r="O37" s="1"/>
      <x:c r="P37" s="1"/>
    </x:row>
    <x:row r="38" ht="16.5">
      <x:c r="A38" s="171"/>
      <x:c r="B38" s="52" t="str">
        <x:f>IF(SUM(C38:G38)=0,"",SUM(C38:G38))</x:f>
      </x:c>
      <x:c r="C38" s="53"/>
      <x:c r="D38" s="54"/>
      <x:c r="E38" s="54"/>
      <x:c r="F38" s="53" t="str">
        <x:f>IF('RETAIL &amp; PRINT'!I41="","",'RETAIL &amp; PRINT'!I41)</x:f>
      </x:c>
      <x:c r="G38" s="53" t="str">
        <x:f>IF(F38="","",F38*10%)</x:f>
      </x:c>
      <x:c r="H38" s="1"/>
      <x:c r="I38" s="1"/>
      <x:c r="J38" s="1"/>
      <x:c r="K38" s="1"/>
      <x:c r="L38" s="1"/>
      <x:c r="M38" s="1"/>
      <x:c r="N38" s="1"/>
      <x:c r="O38" s="1"/>
      <x:c r="P38" s="1"/>
    </x:row>
    <x:row r="39" ht="16.5">
      <x:c r="A39" s="51"/>
      <x:c r="B39" s="75" t="str">
        <x:f t="shared" ref="B39" si="2">IF(SUM(B8:B38)=0,"",SUM(B8:B38))</x:f>
      </x:c>
      <x:c r="C39" s="75" t="str">
        <x:f>IF(SUM(C8:C38)=0,"",SUM(C8:C38))</x:f>
      </x:c>
      <x:c r="D39" s="75" t="str">
        <x:f>IF(SUM(D8:D38)=0,"",SUM(D8:D38))</x:f>
      </x:c>
      <x:c r="E39" s="75" t="str">
        <x:f>IF(SUM(E8:E38)=0,"",SUM(E8:E38))</x:f>
      </x:c>
      <x:c r="F39" s="75" t="str">
        <x:f>IF(SUM(F8:F38)=0,"",SUM(F8:F38))</x:f>
      </x:c>
      <x:c r="G39" s="75" t="str">
        <x:f>IF(SUM(G8:G38)=0,"",SUM(G8:G38))</x:f>
      </x:c>
      <x:c r="H39" s="1"/>
      <x:c r="I39" s="1"/>
      <x:c r="J39" s="1"/>
      <x:c r="K39" s="1"/>
      <x:c r="L39" s="1"/>
      <x:c r="M39" s="1"/>
      <x:c r="N39" s="1"/>
      <x:c r="O39" s="1"/>
      <x:c r="P39" s="1"/>
    </x:row>
    <x:row r="40" ht="16.5">
      <x:c r="A40" s="51"/>
      <x:c r="B40" s="66" t="str">
        <x:f>IF(B39="","",B39)</x:f>
      </x:c>
      <x:c r="C40" s="67" t="str">
        <x:f>IF(C39="","",C39)</x:f>
      </x:c>
      <x:c r="D40" s="107" t="str">
        <x:f>IF(SUM(D39:E39)=0,"",SUM(D39:E39))</x:f>
      </x:c>
      <x:c r="E40" s="108"/>
      <x:c r="F40" s="142" t="str">
        <x:f>IF(SUM(F39:G39)=0,"",SUM(F39:G39))</x:f>
      </x:c>
      <x:c r="G40" s="143"/>
      <x:c r="H40" s="1"/>
      <x:c r="I40" s="1"/>
      <x:c r="J40" s="1"/>
      <x:c r="K40" s="1"/>
      <x:c r="L40" s="1"/>
      <x:c r="M40" s="1"/>
      <x:c r="N40" s="1"/>
      <x:c r="O40" s="1"/>
      <x:c r="P40" s="1"/>
    </x:row>
    <x:row r="41" ht="16.5">
      <x:c r="B41" s="11"/>
      <x:c r="C41" s="1"/>
      <x:c r="D41" s="19"/>
      <x:c r="E41" s="19"/>
      <x:c r="F41" s="12"/>
      <x:c r="G41" s="13"/>
      <x:c r="H41" s="1"/>
      <x:c r="I41" s="1"/>
      <x:c r="J41" s="1"/>
      <x:c r="K41" s="1"/>
      <x:c r="L41" s="1"/>
      <x:c r="M41" s="1"/>
      <x:c r="N41" s="1"/>
      <x:c r="O41" s="1"/>
      <x:c r="P41" s="1"/>
    </x:row>
    <x:row r="42" ht="16.5">
      <x:c r="B42" s="11"/>
      <x:c r="C42" s="1"/>
      <x:c r="D42" s="19"/>
      <x:c r="E42" s="19"/>
      <x:c r="F42" s="12"/>
      <x:c r="G42" s="25"/>
      <x:c r="H42" s="1"/>
      <x:c r="I42" s="1"/>
      <x:c r="J42" s="1"/>
      <x:c r="K42" s="1"/>
      <x:c r="L42" s="1"/>
      <x:c r="M42" s="1"/>
      <x:c r="N42" s="1"/>
      <x:c r="O42" s="1"/>
      <x:c r="P42" s="1"/>
    </x:row>
    <x:row r="43" ht="16.5">
      <x:c r="B43" s="11"/>
      <x:c r="C43" s="27"/>
      <x:c r="D43" s="19"/>
      <x:c r="E43" s="19"/>
      <x:c r="F43" s="12"/>
      <x:c r="G43" s="13"/>
      <x:c r="H43" s="1"/>
      <x:c r="I43" s="1"/>
      <x:c r="J43" s="1"/>
      <x:c r="K43" s="1"/>
      <x:c r="L43" s="1"/>
      <x:c r="M43" s="1"/>
      <x:c r="N43" s="1"/>
      <x:c r="O43" s="1"/>
      <x:c r="P43" s="1"/>
    </x:row>
    <x:row r="44" ht="16.5">
      <x:c r="B44" s="11"/>
      <x:c r="C44" s="27"/>
      <x:c r="D44" s="19"/>
      <x:c r="E44" s="19"/>
      <x:c r="F44" s="12"/>
      <x:c r="G44" s="13"/>
      <x:c r="H44" s="1"/>
      <x:c r="I44" s="1"/>
      <x:c r="J44" s="1"/>
      <x:c r="K44" s="1"/>
      <x:c r="L44" s="1"/>
      <x:c r="M44" s="1"/>
      <x:c r="N44" s="1"/>
      <x:c r="O44" s="1"/>
      <x:c r="P44" s="1"/>
    </x:row>
    <x:row r="45" ht="16.5">
      <x:c r="B45" s="11"/>
      <x:c r="C45" s="27"/>
      <x:c r="D45" s="19"/>
      <x:c r="E45" s="19"/>
      <x:c r="F45" s="12"/>
      <x:c r="G45" s="13"/>
      <x:c r="H45" s="1"/>
      <x:c r="I45" s="1"/>
      <x:c r="J45" s="1"/>
      <x:c r="K45" s="1"/>
      <x:c r="L45" s="1"/>
      <x:c r="M45" s="1"/>
      <x:c r="N45" s="1"/>
      <x:c r="O45" s="1"/>
      <x:c r="P45" s="1"/>
    </x:row>
    <x:row r="46" ht="16.5">
      <x:c r="B46" s="11"/>
      <x:c r="C46" s="1"/>
      <x:c r="D46" s="19"/>
      <x:c r="E46" s="19"/>
      <x:c r="F46" s="12"/>
      <x:c r="G46" s="13"/>
      <x:c r="H46" s="1"/>
      <x:c r="I46" s="1"/>
      <x:c r="J46" s="1"/>
      <x:c r="K46" s="1"/>
      <x:c r="L46" s="1"/>
      <x:c r="M46" s="1"/>
      <x:c r="N46" s="1"/>
      <x:c r="O46" s="1"/>
      <x:c r="P46" s="1"/>
    </x:row>
    <x:row r="47" ht="16.5">
      <x:c r="B47" s="11"/>
      <x:c r="C47" s="1"/>
      <x:c r="D47" s="19"/>
      <x:c r="E47" s="19"/>
      <x:c r="F47" s="12"/>
      <x:c r="G47" s="13"/>
      <x:c r="H47" s="1"/>
      <x:c r="I47" s="1"/>
      <x:c r="J47" s="1"/>
      <x:c r="K47" s="1"/>
      <x:c r="L47" s="1"/>
      <x:c r="M47" s="1"/>
      <x:c r="N47" s="1"/>
      <x:c r="O47" s="1"/>
      <x:c r="P47" s="1"/>
    </x:row>
    <x:row r="48" ht="16.5">
      <x:c r="B48" s="11"/>
      <x:c r="C48" s="1"/>
      <x:c r="D48" s="19"/>
      <x:c r="E48" s="19"/>
      <x:c r="F48" s="12"/>
      <x:c r="G48" s="13"/>
      <x:c r="H48" s="1"/>
      <x:c r="I48" s="1"/>
      <x:c r="J48" s="1"/>
      <x:c r="K48" s="1"/>
      <x:c r="L48" s="1"/>
      <x:c r="M48" s="1"/>
      <x:c r="N48" s="1"/>
      <x:c r="O48" s="1"/>
      <x:c r="P48" s="1"/>
    </x:row>
    <x:row r="49" ht="16.5">
      <x:c r="B49" s="11"/>
      <x:c r="C49" s="1"/>
      <x:c r="D49" s="19"/>
      <x:c r="E49" s="19"/>
      <x:c r="F49" s="12"/>
      <x:c r="G49" s="13"/>
      <x:c r="H49" s="1"/>
      <x:c r="I49" s="1"/>
      <x:c r="J49" s="1"/>
      <x:c r="K49" s="1"/>
      <x:c r="L49" s="1"/>
      <x:c r="M49" s="1"/>
      <x:c r="N49" s="1"/>
      <x:c r="O49" s="1"/>
      <x:c r="P49" s="1"/>
    </x:row>
    <x:row r="50" ht="16.5">
      <x:c r="A50"/>
      <x:c r="B50" s="11"/>
      <x:c r="C50" s="1"/>
      <x:c r="D50" s="19"/>
      <x:c r="E50" s="19"/>
      <x:c r="F50" s="12"/>
      <x:c r="G50" s="13"/>
      <x:c r="H50" s="1"/>
      <x:c r="I50" s="1"/>
      <x:c r="J50" s="1"/>
      <x:c r="K50" s="1"/>
      <x:c r="L50" s="1"/>
      <x:c r="M50" s="1"/>
      <x:c r="N50" s="1"/>
      <x:c r="O50" s="1"/>
      <x:c r="P50" s="1"/>
    </x:row>
    <x:row r="51" ht="16.5">
      <x:c r="A51"/>
      <x:c r="B51" s="11"/>
      <x:c r="C51" s="1"/>
      <x:c r="D51" s="19"/>
      <x:c r="E51" s="19"/>
      <x:c r="F51" s="12"/>
      <x:c r="G51" s="13"/>
      <x:c r="H51" s="1"/>
      <x:c r="I51" s="1"/>
      <x:c r="J51" s="1"/>
      <x:c r="K51" s="1"/>
      <x:c r="L51" s="1"/>
      <x:c r="M51" s="1"/>
      <x:c r="N51" s="1"/>
      <x:c r="O51" s="1"/>
      <x:c r="P51" s="1"/>
    </x:row>
    <x:row r="52" ht="16.5">
      <x:c r="A52"/>
      <x:c r="B52" s="11"/>
      <x:c r="C52" s="1"/>
      <x:c r="D52" s="19"/>
      <x:c r="E52" s="19"/>
      <x:c r="F52" s="12"/>
      <x:c r="G52" s="13"/>
      <x:c r="H52" s="1"/>
      <x:c r="I52" s="1"/>
      <x:c r="J52" s="1"/>
      <x:c r="K52" s="1"/>
      <x:c r="L52" s="1"/>
      <x:c r="M52" s="1"/>
      <x:c r="N52" s="1"/>
      <x:c r="O52" s="1"/>
      <x:c r="P52" s="1"/>
    </x:row>
    <x:row r="53" ht="16.5">
      <x:c r="A53"/>
      <x:c r="B53" s="11"/>
      <x:c r="C53" s="1"/>
      <x:c r="D53" s="19"/>
      <x:c r="E53" s="19"/>
      <x:c r="F53" s="12"/>
      <x:c r="G53" s="13"/>
      <x:c r="H53" s="1"/>
      <x:c r="I53" s="1"/>
      <x:c r="J53" s="1"/>
      <x:c r="K53" s="1"/>
      <x:c r="L53" s="1"/>
      <x:c r="M53" s="1"/>
      <x:c r="N53" s="1"/>
      <x:c r="O53" s="1"/>
      <x:c r="P53" s="1"/>
    </x:row>
    <x:row r="54" ht="16.5">
      <x:c r="A54"/>
      <x:c r="B54" s="11"/>
      <x:c r="C54" s="1"/>
      <x:c r="D54" s="19"/>
      <x:c r="E54" s="19"/>
      <x:c r="F54" s="12"/>
      <x:c r="G54" s="13"/>
      <x:c r="H54" s="1"/>
      <x:c r="I54" s="1"/>
      <x:c r="J54" s="1"/>
      <x:c r="K54" s="1"/>
      <x:c r="L54" s="1"/>
      <x:c r="M54" s="1"/>
      <x:c r="N54" s="1"/>
      <x:c r="O54" s="1"/>
      <x:c r="P54" s="1"/>
    </x:row>
    <x:row r="55" ht="16.5">
      <x:c r="A55"/>
      <x:c r="B55" s="11"/>
      <x:c r="C55" s="1"/>
      <x:c r="D55" s="19"/>
      <x:c r="E55" s="19"/>
      <x:c r="F55" s="12"/>
      <x:c r="G55" s="13"/>
      <x:c r="H55" s="1"/>
      <x:c r="I55" s="1"/>
      <x:c r="J55" s="1"/>
      <x:c r="K55" s="1"/>
      <x:c r="L55" s="1"/>
      <x:c r="M55" s="1"/>
      <x:c r="N55" s="1"/>
      <x:c r="O55" s="1"/>
      <x:c r="P55" s="1"/>
    </x:row>
    <x:row r="56" ht="16.5">
      <x:c r="A56"/>
      <x:c r="B56" s="11"/>
      <x:c r="C56" s="1"/>
      <x:c r="D56" s="19"/>
      <x:c r="E56" s="19"/>
      <x:c r="F56" s="12"/>
      <x:c r="G56" s="13"/>
      <x:c r="H56" s="1"/>
      <x:c r="I56" s="1"/>
      <x:c r="J56" s="1"/>
      <x:c r="K56" s="1"/>
      <x:c r="L56" s="1"/>
      <x:c r="M56" s="1"/>
      <x:c r="N56" s="1"/>
      <x:c r="O56" s="1"/>
      <x:c r="P56" s="1"/>
    </x:row>
    <x:row r="57" ht="16.5">
      <x:c r="A57"/>
      <x:c r="B57" s="11"/>
      <x:c r="C57" s="1"/>
      <x:c r="D57" s="19"/>
      <x:c r="E57" s="19"/>
      <x:c r="F57" s="12"/>
      <x:c r="G57" s="13"/>
      <x:c r="H57" s="1"/>
      <x:c r="I57" s="1"/>
      <x:c r="J57" s="1"/>
      <x:c r="K57" s="1"/>
      <x:c r="L57" s="1"/>
      <x:c r="M57" s="1"/>
      <x:c r="N57" s="1"/>
      <x:c r="O57" s="1"/>
      <x:c r="P57" s="1"/>
    </x:row>
    <x:row r="58" ht="16.5">
      <x:c r="A58"/>
      <x:c r="B58" s="11"/>
      <x:c r="C58" s="1"/>
      <x:c r="D58" s="19"/>
      <x:c r="E58" s="19"/>
      <x:c r="F58" s="12"/>
      <x:c r="G58" s="13"/>
      <x:c r="H58" s="1"/>
      <x:c r="I58" s="1"/>
      <x:c r="J58" s="1"/>
      <x:c r="K58" s="1"/>
      <x:c r="L58" s="1"/>
      <x:c r="M58" s="1"/>
      <x:c r="N58" s="1"/>
      <x:c r="O58" s="1"/>
      <x:c r="P58" s="1"/>
    </x:row>
    <x:row r="59" ht="16.5">
      <x:c r="A59"/>
      <x:c r="B59" s="11"/>
      <x:c r="C59" s="1"/>
      <x:c r="D59" s="19"/>
      <x:c r="E59" s="19"/>
      <x:c r="F59" s="12"/>
      <x:c r="G59" s="13"/>
      <x:c r="H59" s="1"/>
      <x:c r="I59" s="1"/>
      <x:c r="J59" s="1"/>
      <x:c r="K59" s="1"/>
      <x:c r="L59" s="1"/>
      <x:c r="M59" s="1"/>
      <x:c r="N59" s="1"/>
      <x:c r="O59" s="1"/>
      <x:c r="P59" s="1"/>
    </x:row>
    <x:row r="60" ht="16.5">
      <x:c r="A60"/>
      <x:c r="B60" s="11"/>
      <x:c r="C60" s="1"/>
      <x:c r="D60" s="19"/>
      <x:c r="E60" s="19"/>
      <x:c r="F60" s="12"/>
      <x:c r="G60" s="13"/>
      <x:c r="H60" s="1"/>
      <x:c r="I60" s="1"/>
      <x:c r="J60" s="1"/>
      <x:c r="K60" s="1"/>
      <x:c r="L60" s="1"/>
      <x:c r="M60" s="1"/>
      <x:c r="N60" s="1"/>
      <x:c r="O60" s="1"/>
      <x:c r="P60" s="1"/>
    </x:row>
    <x:row r="61" ht="16.5">
      <x:c r="A61"/>
      <x:c r="B61" s="11"/>
      <x:c r="C61" s="1"/>
      <x:c r="D61" s="19"/>
      <x:c r="E61" s="19"/>
      <x:c r="F61" s="12"/>
      <x:c r="G61" s="13"/>
      <x:c r="H61" s="1"/>
      <x:c r="I61" s="1"/>
      <x:c r="J61" s="1"/>
      <x:c r="K61" s="1"/>
      <x:c r="L61" s="1"/>
      <x:c r="M61" s="1"/>
      <x:c r="N61" s="1"/>
      <x:c r="O61" s="1"/>
      <x:c r="P61" s="1"/>
    </x:row>
    <x:row r="62" ht="16.5">
      <x:c r="A62"/>
      <x:c r="B62" s="11"/>
      <x:c r="C62" s="1"/>
      <x:c r="D62" s="19"/>
      <x:c r="E62" s="19"/>
      <x:c r="F62" s="12"/>
      <x:c r="G62" s="13"/>
      <x:c r="H62" s="1"/>
      <x:c r="I62" s="1"/>
      <x:c r="J62" s="1"/>
      <x:c r="K62" s="1"/>
      <x:c r="L62" s="1"/>
      <x:c r="M62" s="1"/>
      <x:c r="N62" s="1"/>
      <x:c r="O62" s="1"/>
      <x:c r="P62" s="1"/>
    </x:row>
    <x:row r="63" ht="16.5">
      <x:c r="A63"/>
      <x:c r="B63" s="11"/>
      <x:c r="C63" s="1"/>
      <x:c r="D63" s="19"/>
      <x:c r="E63" s="19"/>
      <x:c r="F63" s="12"/>
      <x:c r="G63" s="13"/>
      <x:c r="H63" s="1"/>
      <x:c r="I63" s="1"/>
      <x:c r="J63" s="1"/>
      <x:c r="K63" s="1"/>
      <x:c r="L63" s="1"/>
      <x:c r="M63" s="1"/>
      <x:c r="N63" s="1"/>
      <x:c r="O63" s="1"/>
      <x:c r="P63" s="1"/>
    </x:row>
    <x:row r="64" ht="16.5">
      <x:c r="A64"/>
      <x:c r="B64" s="11"/>
      <x:c r="C64" s="1"/>
      <x:c r="D64" s="19"/>
      <x:c r="E64" s="19"/>
      <x:c r="F64" s="12"/>
      <x:c r="G64" s="13"/>
      <x:c r="H64" s="1"/>
      <x:c r="I64" s="1"/>
      <x:c r="J64" s="1"/>
      <x:c r="K64" s="1"/>
      <x:c r="L64" s="1"/>
      <x:c r="M64" s="1"/>
      <x:c r="N64" s="1"/>
      <x:c r="O64" s="1"/>
      <x:c r="P64" s="1"/>
    </x:row>
    <x:row r="65" ht="16.5">
      <x:c r="A65"/>
      <x:c r="B65" s="11"/>
      <x:c r="C65" s="1"/>
      <x:c r="D65" s="19"/>
      <x:c r="E65" s="19"/>
      <x:c r="F65" s="12"/>
      <x:c r="G65" s="13"/>
      <x:c r="H65" s="1"/>
      <x:c r="I65" s="1"/>
      <x:c r="J65" s="1"/>
      <x:c r="K65" s="1"/>
      <x:c r="L65" s="1"/>
      <x:c r="M65" s="1"/>
      <x:c r="N65" s="1"/>
      <x:c r="O65" s="1"/>
      <x:c r="P65" s="1"/>
    </x:row>
    <x:row r="66" ht="16.5">
      <x:c r="A66"/>
      <x:c r="B66" s="11"/>
      <x:c r="C66" s="1"/>
      <x:c r="D66" s="19"/>
      <x:c r="E66" s="19"/>
      <x:c r="F66" s="12"/>
      <x:c r="G66" s="13"/>
      <x:c r="H66" s="1"/>
      <x:c r="I66" s="1"/>
      <x:c r="J66" s="1"/>
      <x:c r="K66" s="1"/>
      <x:c r="L66" s="1"/>
      <x:c r="M66" s="1"/>
      <x:c r="N66" s="1"/>
      <x:c r="O66" s="1"/>
      <x:c r="P66" s="1"/>
    </x:row>
    <x:row r="67" ht="16.5">
      <x:c r="A67"/>
      <x:c r="B67" s="11"/>
      <x:c r="C67" s="1"/>
      <x:c r="D67" s="19"/>
      <x:c r="E67" s="19"/>
      <x:c r="F67" s="12"/>
      <x:c r="G67" s="13"/>
      <x:c r="H67" s="1"/>
      <x:c r="I67" s="1"/>
      <x:c r="J67" s="1"/>
      <x:c r="K67" s="1"/>
      <x:c r="L67" s="1"/>
      <x:c r="M67" s="1"/>
      <x:c r="N67" s="1"/>
      <x:c r="O67" s="1"/>
      <x:c r="P67" s="1"/>
    </x:row>
    <x:row r="68" ht="16.5">
      <x:c r="A68"/>
      <x:c r="B68" s="11"/>
      <x:c r="C68" s="1"/>
      <x:c r="D68" s="19"/>
      <x:c r="E68" s="19"/>
      <x:c r="F68" s="12"/>
      <x:c r="G68" s="13"/>
      <x:c r="H68" s="1"/>
      <x:c r="I68" s="1"/>
      <x:c r="J68" s="1"/>
      <x:c r="K68" s="1"/>
      <x:c r="L68" s="1"/>
      <x:c r="M68" s="1"/>
      <x:c r="N68" s="1"/>
      <x:c r="O68" s="1"/>
      <x:c r="P68" s="1"/>
    </x:row>
    <x:row r="69" ht="16.5">
      <x:c r="A69"/>
      <x:c r="B69" s="11"/>
      <x:c r="C69" s="1"/>
      <x:c r="D69" s="19"/>
      <x:c r="E69" s="19"/>
      <x:c r="F69" s="12"/>
      <x:c r="G69" s="13"/>
      <x:c r="H69" s="1"/>
      <x:c r="I69" s="1"/>
      <x:c r="J69" s="1"/>
      <x:c r="K69" s="1"/>
      <x:c r="L69" s="1"/>
      <x:c r="M69" s="1"/>
      <x:c r="N69" s="1"/>
      <x:c r="O69" s="1"/>
      <x:c r="P69" s="1"/>
    </x:row>
    <x:row r="70" ht="16.5">
      <x:c r="A70"/>
      <x:c r="B70" s="11"/>
      <x:c r="C70" s="1"/>
      <x:c r="D70" s="19"/>
      <x:c r="E70" s="19"/>
      <x:c r="F70" s="12"/>
      <x:c r="G70" s="13"/>
      <x:c r="H70" s="1"/>
      <x:c r="I70" s="1"/>
      <x:c r="J70" s="1"/>
      <x:c r="K70" s="1"/>
      <x:c r="L70" s="1"/>
      <x:c r="M70" s="1"/>
      <x:c r="N70" s="1"/>
      <x:c r="O70" s="1"/>
      <x:c r="P70" s="1"/>
    </x:row>
    <x:row r="71" ht="16.5">
      <x:c r="A71"/>
      <x:c r="B71" s="11"/>
      <x:c r="C71" s="1"/>
      <x:c r="D71" s="19"/>
      <x:c r="E71" s="19"/>
      <x:c r="F71" s="12"/>
      <x:c r="G71" s="13"/>
      <x:c r="H71" s="1"/>
      <x:c r="I71" s="1"/>
      <x:c r="J71" s="1"/>
      <x:c r="K71" s="1"/>
      <x:c r="L71" s="1"/>
      <x:c r="M71" s="1"/>
      <x:c r="N71" s="1"/>
      <x:c r="O71" s="1"/>
      <x:c r="P71" s="1"/>
    </x:row>
    <x:row r="72" ht="16.5">
      <x:c r="A72"/>
      <x:c r="B72" s="11"/>
      <x:c r="C72" s="1"/>
      <x:c r="D72" s="19"/>
      <x:c r="E72" s="19"/>
      <x:c r="F72" s="12"/>
      <x:c r="G72" s="13"/>
      <x:c r="H72" s="1"/>
      <x:c r="I72" s="1"/>
      <x:c r="J72" s="1"/>
      <x:c r="K72" s="1"/>
      <x:c r="L72" s="1"/>
      <x:c r="M72" s="1"/>
      <x:c r="N72" s="1"/>
      <x:c r="O72" s="1"/>
      <x:c r="P72" s="1"/>
    </x:row>
    <x:row r="73" ht="16.5">
      <x:c r="A73"/>
      <x:c r="B73" s="11"/>
      <x:c r="C73" s="1"/>
      <x:c r="D73" s="19"/>
      <x:c r="E73" s="19"/>
      <x:c r="F73" s="12"/>
      <x:c r="G73" s="13"/>
      <x:c r="H73" s="1"/>
      <x:c r="I73" s="1"/>
      <x:c r="J73" s="1"/>
      <x:c r="K73" s="1"/>
      <x:c r="L73" s="1"/>
      <x:c r="M73" s="1"/>
      <x:c r="N73" s="1"/>
      <x:c r="O73" s="1"/>
      <x:c r="P73" s="1"/>
    </x:row>
    <x:row r="74" ht="16.5">
      <x:c r="A74"/>
      <x:c r="B74" s="11"/>
      <x:c r="C74" s="1"/>
      <x:c r="D74" s="19"/>
      <x:c r="E74" s="19"/>
      <x:c r="F74" s="12"/>
      <x:c r="G74" s="13"/>
      <x:c r="H74" s="1"/>
      <x:c r="I74" s="1"/>
      <x:c r="J74" s="1"/>
      <x:c r="K74" s="1"/>
      <x:c r="L74" s="1"/>
      <x:c r="M74" s="1"/>
      <x:c r="N74" s="1"/>
      <x:c r="O74" s="1"/>
      <x:c r="P74" s="1"/>
    </x:row>
    <x:row r="75" ht="16.5">
      <x:c r="A75"/>
      <x:c r="B75" s="11"/>
      <x:c r="C75" s="1"/>
      <x:c r="D75" s="19"/>
      <x:c r="E75" s="19"/>
      <x:c r="F75" s="12"/>
      <x:c r="G75" s="13"/>
      <x:c r="H75" s="1"/>
      <x:c r="I75" s="1"/>
      <x:c r="J75" s="1"/>
      <x:c r="K75" s="1"/>
      <x:c r="L75" s="1"/>
      <x:c r="M75" s="1"/>
      <x:c r="N75" s="1"/>
      <x:c r="O75" s="1"/>
      <x:c r="P75" s="1"/>
    </x:row>
    <x:row r="76" ht="16.5">
      <x:c r="A76"/>
      <x:c r="B76" s="11"/>
      <x:c r="C76" s="1"/>
      <x:c r="D76" s="19"/>
      <x:c r="E76" s="19"/>
      <x:c r="F76" s="12"/>
      <x:c r="G76" s="13"/>
      <x:c r="H76" s="1"/>
      <x:c r="I76" s="1"/>
      <x:c r="J76" s="1"/>
      <x:c r="K76" s="1"/>
      <x:c r="L76" s="1"/>
      <x:c r="M76" s="1"/>
      <x:c r="N76" s="1"/>
      <x:c r="O76" s="1"/>
      <x:c r="P76" s="1"/>
    </x:row>
    <x:row r="77" ht="16.5">
      <x:c r="A77"/>
      <x:c r="B77" s="11"/>
      <x:c r="C77" s="1"/>
      <x:c r="D77" s="19"/>
      <x:c r="E77" s="19"/>
      <x:c r="F77" s="12"/>
      <x:c r="G77" s="13"/>
      <x:c r="H77" s="1"/>
      <x:c r="I77" s="1"/>
      <x:c r="J77" s="1"/>
      <x:c r="K77" s="1"/>
      <x:c r="L77" s="1"/>
      <x:c r="M77" s="1"/>
      <x:c r="N77" s="1"/>
      <x:c r="O77" s="1"/>
      <x:c r="P77" s="1"/>
    </x:row>
    <x:row r="78" ht="16.5">
      <x:c r="A78"/>
      <x:c r="B78" s="11"/>
      <x:c r="C78" s="1"/>
      <x:c r="D78" s="19"/>
      <x:c r="E78" s="19"/>
      <x:c r="F78" s="12"/>
      <x:c r="G78" s="13"/>
      <x:c r="H78" s="1"/>
      <x:c r="I78" s="1"/>
      <x:c r="J78" s="1"/>
      <x:c r="K78" s="1"/>
      <x:c r="L78" s="1"/>
      <x:c r="M78" s="1"/>
      <x:c r="N78" s="1"/>
      <x:c r="O78" s="1"/>
      <x:c r="P78" s="1"/>
    </x:row>
  </x:sheetData>
  <x:mergeCells>
    <x:mergeCell ref="D5:E5"/>
    <x:mergeCell ref="F5:G5"/>
    <x:mergeCell ref="I5:K5"/>
    <x:mergeCell ref="F40:G40"/>
  </x:mergeCells>
  <x:pageMargins left="0.7" right="0.7" top="0.75" bottom="0.75" header="0.3" footer="0.3"/>
  <x:drawing xmlns:r="http://schemas.openxmlformats.org/officeDocument/2006/relationships" r:id="R3ac1288d65dc477c"/>
</x:worksheet>
</file>

<file path=xl/worksheets/sheet13.xml><?xml version="1.0" encoding="utf-8"?>
<x:worksheet xmlns:x="http://schemas.openxmlformats.org/spreadsheetml/2006/main">
  <x:sheetPr>
    <x:tabColor rgb="FFFF33CC"/>
  </x:sheetPr>
  <x:sheetFormatPr defaultRowHeight="15"/>
  <x:cols>
    <x:col min="1" max="1" width="13.42578125" style="14" customWidth="1"/>
    <x:col min="2" max="2" width="16.42578125" style="6" customWidth="1"/>
    <x:col min="3" max="3" width="19" customWidth="1"/>
    <x:col min="4" max="4" width="16.85546875" style="20" customWidth="1"/>
    <x:col min="5" max="5" width="22.140625" style="20" customWidth="1"/>
    <x:col min="6" max="6" width="29.5703125" customWidth="1"/>
    <x:col min="7" max="7" width="11.42578125" customWidth="1"/>
    <x:col min="8" max="8" width="13.140625" customWidth="1"/>
  </x:cols>
  <x:sheetData>
    <x:row r="2" ht="18">
      <x:c r="A2" s="16" t="str">
        <x:v>DAILY SALES  - JUNE 2026 (THIRD PARD)</x:v>
      </x:c>
      <x:c r="B2" s="16"/>
      <x:c r="C2" s="16"/>
      <x:c r="D2" s="18"/>
      <x:c r="F2" s="20"/>
      <x:c r="G2" s="16"/>
      <x:c r="H2" s="16"/>
      <x:c r="I2" s="16"/>
      <x:c r="J2" s="16"/>
      <x:c r="K2" s="16"/>
      <x:c r="L2" s="16"/>
      <x:c r="M2" s="16"/>
      <x:c r="N2" s="16"/>
      <x:c r="O2" s="16"/>
    </x:row>
    <x:row r="3" ht="18">
      <x:c r="B3" s="24"/>
      <x:c r="C3" s="24"/>
      <x:c r="D3" s="18"/>
      <x:c r="E3" s="18"/>
      <x:c r="F3" s="24"/>
      <x:c r="G3" s="24"/>
      <x:c r="H3" s="24"/>
      <x:c r="I3" s="24"/>
      <x:c r="J3" s="24"/>
      <x:c r="K3" s="24"/>
      <x:c r="L3" s="24"/>
      <x:c r="M3" s="24"/>
      <x:c r="N3" s="24"/>
      <x:c r="O3" s="24"/>
    </x:row>
    <x:row r="4" ht="16.5">
      <x:c r="B4" s="11"/>
      <x:c r="C4" s="1"/>
      <x:c r="D4" s="19"/>
      <x:c r="E4" s="19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16.5">
      <x:c r="A5" s="21" t="s">
        <x:v>21</x:v>
      </x:c>
      <x:c r="B5" s="22" t="s">
        <x:v>22</x:v>
      </x:c>
      <x:c r="C5" s="106" t="s">
        <x:v>31</x:v>
      </x:c>
      <x:c r="D5" s="106" t="s">
        <x:v>32</x:v>
      </x:c>
      <x:c r="E5" s="106" t="s">
        <x:v>33</x:v>
      </x:c>
      <x:c r="F5" s="2"/>
      <x:c r="G5" s="135" t="s">
        <x:v>26</x:v>
      </x:c>
      <x:c r="H5" s="135"/>
      <x:c r="I5" s="135"/>
      <x:c r="N5" s="1"/>
      <x:c r="O5" s="1"/>
    </x:row>
    <x:row r="6" ht="16.5">
      <x:c r="A6" s="21"/>
      <x:c r="B6" s="22"/>
      <x:c r="C6" s="23"/>
      <x:c r="D6" s="69"/>
      <x:c r="E6" s="69" t="s">
        <x:v>39</x:v>
      </x:c>
      <x:c r="F6" s="2"/>
      <x:c r="G6" s="17"/>
      <x:c r="H6" s="17"/>
      <x:c r="I6" s="17"/>
      <x:c r="N6" s="1"/>
      <x:c r="O6" s="1"/>
    </x:row>
    <x:row r="7" ht="16.5">
      <x:c r="A7" s="15"/>
      <x:c r="B7" s="7"/>
      <x:c r="C7" s="5"/>
      <x:c r="D7" s="70"/>
      <x:c r="E7" s="70" t="s">
        <x:v>40</x:v>
      </x:c>
      <x:c r="F7" s="2"/>
      <x:c r="G7" s="3" t="str">
        <x:f>C5</x:f>
        <x:v>Kitwe</x:v>
      </x:c>
      <x:c r="H7" s="10" t="str">
        <x:f>C5</x:f>
        <x:v>Kitwe</x:v>
      </x:c>
      <x:c r="I7" s="4" t="str">
        <x:f>IF(C39="","",C39)</x:f>
      </x:c>
      <x:c r="J7" t="str">
        <x:f>IFERROR($C$39/$B$39,"")</x:f>
      </x:c>
      <x:c r="N7" s="1"/>
      <x:c r="O7" s="1"/>
    </x:row>
    <x:row r="8" ht="16.5">
      <x:c r="A8" s="171" t="n">
        <x:v>46174</x:v>
      </x:c>
      <x:c r="B8" s="52" t="str">
        <x:f>IF(SUM(C8:F8)=0,"",SUM(C8:F8))</x:f>
      </x:c>
      <x:c r="C8" s="53"/>
      <x:c r="D8" s="54"/>
      <x:c r="E8" s="54"/>
      <x:c r="F8" s="1"/>
      <x:c r="G8" s="3" t="str">
        <x:f>D5</x:f>
        <x:v>Eldo</x:v>
      </x:c>
      <x:c r="H8" s="10" t="str">
        <x:f>D5</x:f>
        <x:v>Eldo</x:v>
      </x:c>
      <x:c r="I8" s="4" t="str">
        <x:f>IF(D39="","",D39)</x:f>
      </x:c>
      <x:c r="J8" t="str">
        <x:f>IFERROR($D$39/$B$39,"")</x:f>
      </x:c>
      <x:c r="N8" s="1"/>
      <x:c r="O8" s="1"/>
    </x:row>
    <x:row r="9" ht="16.5">
      <x:c r="A9" s="171" t="n">
        <x:v>46175</x:v>
      </x:c>
      <x:c r="B9" s="52" t="str">
        <x:f t="shared" ref="B9:B37" si="0">IF(SUM(C9:F9)=0,"",SUM(C9:F9))</x:f>
      </x:c>
      <x:c r="C9" s="53"/>
      <x:c r="D9" s="54"/>
      <x:c r="E9" s="54"/>
      <x:c r="F9" s="1"/>
      <x:c r="G9" s="3" t="str">
        <x:f>E5</x:f>
        <x:v>Clubview</x:v>
      </x:c>
      <x:c r="H9" s="10" t="n">
        <x:f>F5</x:f>
        <x:v>0</x:v>
      </x:c>
      <x:c r="I9" s="4" t="str">
        <x:f>IF(F39="","",F39)</x:f>
      </x:c>
      <x:c r="J9" t="str">
        <x:f>IFERROR($F$39/$B$39,"")</x:f>
      </x:c>
      <x:c r="N9" s="1"/>
      <x:c r="O9" s="1"/>
    </x:row>
    <x:row r="10" ht="16.5">
      <x:c r="A10" s="171" t="n">
        <x:v>46176</x:v>
      </x:c>
      <x:c r="B10" s="52" t="str">
        <x:f t="shared" si="0">IF(SUM(C10:F10)=0,"",SUM(C10:F10))</x:f>
      </x:c>
      <x:c r="C10" s="53"/>
      <x:c r="D10" s="54"/>
      <x:c r="E10" s="54"/>
      <x:c r="F10" s="1"/>
      <x:c r="G10" s="39"/>
      <x:c r="H10" s="40"/>
      <x:c r="I10" s="41" t="str">
        <x:f>IF(SUM(I7:I9)=0,"",SUM(I7:I9))</x:f>
      </x:c>
      <x:c r="J10" s="1" t="str">
        <x:f>IF(SUM(J7:J9)=0,"",SUM(J7:J9))</x:f>
      </x:c>
      <x:c r="K10" s="1"/>
      <x:c r="L10" s="1"/>
      <x:c r="M10" s="1"/>
      <x:c r="N10" s="1"/>
      <x:c r="O10" s="1"/>
    </x:row>
    <x:row r="11" ht="16.5">
      <x:c r="A11" s="171" t="n">
        <x:v>46177</x:v>
      </x:c>
      <x:c r="B11" s="52" t="str">
        <x:f t="shared" si="0">IF(SUM(C11:F11)=0,"",SUM(C11:F11))</x:f>
      </x:c>
      <x:c r="C11" s="53"/>
      <x:c r="D11" s="54"/>
      <x:c r="E11" s="54"/>
      <x:c r="F11" s="1"/>
      <x:c r="G11" s="1"/>
      <x:c r="H11" s="38"/>
      <x:c r="I11" s="30"/>
      <x:c r="J11" s="1"/>
      <x:c r="K11" s="1"/>
      <x:c r="L11" s="1"/>
      <x:c r="M11" s="1"/>
      <x:c r="N11" s="1"/>
      <x:c r="O11" s="1"/>
    </x:row>
    <x:row r="12" ht="16.5">
      <x:c r="A12" s="171" t="n">
        <x:v>46178</x:v>
      </x:c>
      <x:c r="B12" s="52" t="str">
        <x:f t="shared" si="0">IF(SUM(C12:F12)=0,"",SUM(C12:F12))</x:f>
      </x:c>
      <x:c r="C12" s="53"/>
      <x:c r="D12" s="54"/>
      <x:c r="E12" s="54"/>
      <x:c r="F12" s="1"/>
      <x:c r="G12" s="1"/>
      <x:c r="H12" s="38"/>
      <x:c r="I12" s="30"/>
      <x:c r="J12" s="1"/>
      <x:c r="K12" s="1"/>
      <x:c r="L12" s="1"/>
      <x:c r="M12" s="1"/>
      <x:c r="N12" s="1"/>
      <x:c r="O12" s="1"/>
    </x:row>
    <x:row r="13" ht="16.5">
      <x:c r="A13" s="171" t="n">
        <x:v>46179</x:v>
      </x:c>
      <x:c r="B13" s="52" t="str">
        <x:f t="shared" si="0">IF(SUM(C13:F13)=0,"",SUM(C13:F13))</x:f>
      </x:c>
      <x:c r="C13" s="53"/>
      <x:c r="D13" s="54"/>
      <x:c r="E13" s="54"/>
      <x:c r="F13" s="1"/>
      <x:c r="G13" s="1"/>
      <x:c r="H13" s="1"/>
      <x:c r="I13" s="1"/>
      <x:c r="J13" s="1"/>
      <x:c r="K13" s="1"/>
      <x:c r="L13" s="1"/>
      <x:c r="M13" s="1"/>
      <x:c r="N13" s="1"/>
      <x:c r="O13" s="1"/>
    </x:row>
    <x:row r="14" ht="16.5">
      <x:c r="A14" s="171" t="n">
        <x:v>46180</x:v>
      </x:c>
      <x:c r="B14" s="52" t="str">
        <x:f t="shared" si="0">IF(SUM(C14:F14)=0,"",SUM(C14:F14))</x:f>
      </x:c>
      <x:c r="C14" s="53"/>
      <x:c r="D14" s="54"/>
      <x:c r="E14" s="54"/>
      <x:c r="F14" s="1"/>
      <x:c r="G14" s="1"/>
      <x:c r="H14" s="27"/>
      <x:c r="I14" s="28"/>
      <x:c r="J14" s="1"/>
      <x:c r="K14" s="1"/>
      <x:c r="L14" s="1"/>
      <x:c r="M14" s="1"/>
      <x:c r="N14" s="1"/>
      <x:c r="O14" s="1"/>
    </x:row>
    <x:row r="15" ht="16.5">
      <x:c r="A15" s="171" t="n">
        <x:v>46181</x:v>
      </x:c>
      <x:c r="B15" s="52" t="str">
        <x:f t="shared" si="0">IF(SUM(C15:F15)=0,"",SUM(C15:F15))</x:f>
      </x:c>
      <x:c r="C15" s="53"/>
      <x:c r="D15" s="54"/>
      <x:c r="E15" s="54"/>
      <x:c r="F15" s="1"/>
      <x:c r="G15" s="1"/>
      <x:c r="H15" s="1"/>
      <x:c r="I15" s="1"/>
      <x:c r="J15" s="1"/>
      <x:c r="K15" s="1"/>
      <x:c r="L15" s="1"/>
      <x:c r="M15" s="1"/>
      <x:c r="N15" s="1"/>
      <x:c r="O15" s="1"/>
    </x:row>
    <x:row r="16" ht="16.5">
      <x:c r="A16" s="171" t="n">
        <x:v>46182</x:v>
      </x:c>
      <x:c r="B16" s="52" t="str">
        <x:f t="shared" si="0">IF(SUM(C16:F16)=0,"",SUM(C16:F16))</x:f>
      </x:c>
      <x:c r="C16" s="53"/>
      <x:c r="D16" s="54"/>
      <x:c r="E16" s="54"/>
      <x:c r="F16" s="1"/>
      <x:c r="G16" s="1"/>
      <x:c r="H16" s="1"/>
      <x:c r="I16" s="1"/>
      <x:c r="J16" s="1"/>
      <x:c r="K16" s="1"/>
      <x:c r="L16" s="1"/>
      <x:c r="M16" s="1"/>
      <x:c r="N16" s="1"/>
      <x:c r="O16" s="1"/>
    </x:row>
    <x:row r="17" ht="16.5">
      <x:c r="A17" s="171" t="n">
        <x:v>46183</x:v>
      </x:c>
      <x:c r="B17" s="52" t="str">
        <x:f t="shared" si="0">IF(SUM(C17:F17)=0,"",SUM(C17:F17))</x:f>
      </x:c>
      <x:c r="C17" s="53"/>
      <x:c r="D17" s="54"/>
      <x:c r="E17" s="54"/>
      <x:c r="F17" s="1"/>
      <x:c r="G17" s="1"/>
      <x:c r="H17" s="1"/>
      <x:c r="I17" s="1"/>
      <x:c r="J17" s="1"/>
      <x:c r="K17" s="1"/>
      <x:c r="L17" s="1"/>
      <x:c r="M17" s="1"/>
      <x:c r="N17" s="1"/>
      <x:c r="O17" s="1"/>
    </x:row>
    <x:row r="18" ht="16.5">
      <x:c r="A18" s="171" t="n">
        <x:v>46184</x:v>
      </x:c>
      <x:c r="B18" s="52" t="str">
        <x:f t="shared" si="0">IF(SUM(C18:F18)=0,"",SUM(C18:F18))</x:f>
      </x:c>
      <x:c r="C18" s="53"/>
      <x:c r="D18" s="54"/>
      <x:c r="E18" s="54"/>
      <x:c r="F18" s="1"/>
      <x:c r="G18" s="1"/>
      <x:c r="H18" s="1"/>
      <x:c r="I18" s="1"/>
      <x:c r="J18" s="1"/>
      <x:c r="K18" s="1"/>
      <x:c r="L18" s="1"/>
      <x:c r="M18" s="1"/>
      <x:c r="N18" s="1"/>
      <x:c r="O18" s="1"/>
    </x:row>
    <x:row r="19" ht="16.5">
      <x:c r="A19" s="171" t="n">
        <x:v>46185</x:v>
      </x:c>
      <x:c r="B19" s="52" t="str">
        <x:f t="shared" si="0">IF(SUM(C19:F19)=0,"",SUM(C19:F19))</x:f>
      </x:c>
      <x:c r="C19" s="53"/>
      <x:c r="D19" s="54"/>
      <x:c r="E19" s="54"/>
      <x:c r="F19" s="1"/>
      <x:c r="G19" s="1"/>
      <x:c r="H19" s="1"/>
      <x:c r="I19" s="1"/>
      <x:c r="J19" s="1"/>
      <x:c r="K19" s="1"/>
      <x:c r="L19" s="1"/>
      <x:c r="M19" s="1"/>
      <x:c r="N19" s="1"/>
      <x:c r="O19" s="1"/>
    </x:row>
    <x:row r="20" ht="16.5">
      <x:c r="A20" s="171" t="n">
        <x:v>46186</x:v>
      </x:c>
      <x:c r="B20" s="52" t="str">
        <x:f t="shared" si="0">IF(SUM(C20:F20)=0,"",SUM(C20:F20))</x:f>
      </x:c>
      <x:c r="C20" s="53"/>
      <x:c r="D20" s="54"/>
      <x:c r="E20" s="54"/>
      <x:c r="F20" s="1"/>
      <x:c r="G20" s="1"/>
      <x:c r="H20" s="1"/>
      <x:c r="I20" s="1"/>
      <x:c r="J20" s="1"/>
      <x:c r="K20" s="1"/>
      <x:c r="L20" s="1"/>
      <x:c r="M20" s="1"/>
      <x:c r="N20" s="1"/>
      <x:c r="O20" s="1"/>
    </x:row>
    <x:row r="21" ht="16.5">
      <x:c r="A21" s="171" t="n">
        <x:v>46187</x:v>
      </x:c>
      <x:c r="B21" s="52" t="str">
        <x:f t="shared" si="0">IF(SUM(C21:F21)=0,"",SUM(C21:F21))</x:f>
      </x:c>
      <x:c r="C21" s="53"/>
      <x:c r="D21" s="54"/>
      <x:c r="E21" s="54"/>
      <x:c r="F21" s="1"/>
      <x:c r="G21" s="1"/>
      <x:c r="H21" s="1"/>
      <x:c r="I21" s="1"/>
      <x:c r="J21" s="1"/>
      <x:c r="K21" s="1"/>
      <x:c r="L21" s="1"/>
      <x:c r="M21" s="1"/>
      <x:c r="N21" s="1"/>
      <x:c r="O21" s="1"/>
    </x:row>
    <x:row r="22" ht="16.5">
      <x:c r="A22" s="171" t="n">
        <x:v>46188</x:v>
      </x:c>
      <x:c r="B22" s="52" t="str">
        <x:f t="shared" si="0">IF(SUM(C22:F22)=0,"",SUM(C22:F22))</x:f>
      </x:c>
      <x:c r="C22" s="53"/>
      <x:c r="D22" s="54"/>
      <x:c r="E22" s="54"/>
      <x:c r="F22" s="1"/>
      <x:c r="G22" s="1"/>
      <x:c r="H22" s="1"/>
      <x:c r="I22" s="1"/>
      <x:c r="J22" s="1"/>
      <x:c r="K22" s="1"/>
      <x:c r="L22" s="1"/>
      <x:c r="M22" s="1"/>
      <x:c r="N22" s="1"/>
      <x:c r="O22" s="1"/>
    </x:row>
    <x:row r="23" ht="16.5">
      <x:c r="A23" s="171" t="n">
        <x:v>46189</x:v>
      </x:c>
      <x:c r="B23" s="52" t="str">
        <x:f t="shared" si="0">IF(SUM(C23:F23)=0,"",SUM(C23:F23))</x:f>
      </x:c>
      <x:c r="C23" s="53"/>
      <x:c r="D23" s="54"/>
      <x:c r="E23" s="54"/>
      <x:c r="F23" s="1"/>
      <x:c r="G23" s="1"/>
      <x:c r="H23" s="1"/>
      <x:c r="I23" s="1"/>
      <x:c r="J23" s="1"/>
      <x:c r="K23" s="1"/>
      <x:c r="L23" s="1"/>
      <x:c r="M23" s="1"/>
      <x:c r="N23" s="1"/>
      <x:c r="O23" s="1"/>
    </x:row>
    <x:row r="24" ht="16.5">
      <x:c r="A24" s="171" t="n">
        <x:v>46190</x:v>
      </x:c>
      <x:c r="B24" s="52" t="str">
        <x:f t="shared" si="0">IF(SUM(C24:F24)=0,"",SUM(C24:F24))</x:f>
      </x:c>
      <x:c r="C24" s="53"/>
      <x:c r="D24" s="54"/>
      <x:c r="E24" s="54"/>
      <x:c r="F24" s="1"/>
      <x:c r="G24" s="1"/>
      <x:c r="H24" s="1"/>
      <x:c r="I24" s="1"/>
      <x:c r="J24" s="1"/>
      <x:c r="K24" s="1"/>
      <x:c r="L24" s="1"/>
      <x:c r="M24" s="1"/>
      <x:c r="N24" s="1"/>
      <x:c r="O24" s="1"/>
    </x:row>
    <x:row r="25" ht="16.5">
      <x:c r="A25" s="171" t="n">
        <x:v>46191</x:v>
      </x:c>
      <x:c r="B25" s="52" t="str">
        <x:f t="shared" si="0">IF(SUM(C25:F25)=0,"",SUM(C25:F25))</x:f>
      </x:c>
      <x:c r="C25" s="53"/>
      <x:c r="D25" s="54"/>
      <x:c r="E25" s="54"/>
      <x:c r="F25" s="1"/>
      <x:c r="G25" s="34"/>
      <x:c r="H25" s="34"/>
      <x:c r="I25" s="34"/>
      <x:c r="J25" s="1"/>
      <x:c r="K25" s="1"/>
      <x:c r="L25" s="1"/>
      <x:c r="M25" s="1"/>
      <x:c r="N25" s="1"/>
      <x:c r="O25" s="1"/>
    </x:row>
    <x:row r="26" ht="16.5">
      <x:c r="A26" s="171" t="n">
        <x:v>46192</x:v>
      </x:c>
      <x:c r="B26" s="52" t="str">
        <x:f t="shared" si="0">IF(SUM(C26:F26)=0,"",SUM(C26:F26))</x:f>
      </x:c>
      <x:c r="C26" s="53"/>
      <x:c r="D26" s="54"/>
      <x:c r="E26" s="54"/>
      <x:c r="F26" s="1"/>
      <x:c r="G26" s="33"/>
      <x:c r="H26" s="33"/>
      <x:c r="I26" s="33"/>
      <x:c r="J26" s="1"/>
      <x:c r="K26" s="1"/>
      <x:c r="L26" s="1"/>
      <x:c r="M26" s="1"/>
      <x:c r="N26" s="1"/>
      <x:c r="O26" s="1"/>
    </x:row>
    <x:row r="27" ht="16.5">
      <x:c r="A27" s="171" t="n">
        <x:v>46193</x:v>
      </x:c>
      <x:c r="B27" s="52" t="str">
        <x:f t="shared" si="0">IF(SUM(C27:F27)=0,"",SUM(C27:F27))</x:f>
      </x:c>
      <x:c r="C27" s="53"/>
      <x:c r="D27" s="54"/>
      <x:c r="E27" s="54"/>
      <x:c r="F27" s="1"/>
      <x:c r="G27" s="34"/>
      <x:c r="H27" s="35"/>
      <x:c r="I27" s="36"/>
      <x:c r="J27" s="1"/>
      <x:c r="K27" s="1"/>
      <x:c r="L27" s="1"/>
      <x:c r="M27" s="1"/>
      <x:c r="N27" s="1"/>
      <x:c r="O27" s="1"/>
    </x:row>
    <x:row r="28" ht="16.5">
      <x:c r="A28" s="171" t="n">
        <x:v>46194</x:v>
      </x:c>
      <x:c r="B28" s="52" t="str">
        <x:f t="shared" si="0">IF(SUM(C28:F28)=0,"",SUM(C28:F28))</x:f>
      </x:c>
      <x:c r="C28" s="53"/>
      <x:c r="D28" s="54"/>
      <x:c r="E28" s="54"/>
      <x:c r="F28" s="1"/>
      <x:c r="G28" s="34"/>
      <x:c r="H28" s="37"/>
      <x:c r="I28" s="36"/>
      <x:c r="J28" s="1"/>
      <x:c r="K28" s="1"/>
      <x:c r="L28" s="1"/>
      <x:c r="M28" s="1"/>
      <x:c r="N28" s="1"/>
      <x:c r="O28" s="1"/>
    </x:row>
    <x:row r="29" ht="16.5">
      <x:c r="A29" s="171" t="n">
        <x:v>46195</x:v>
      </x:c>
      <x:c r="B29" s="52" t="str">
        <x:f t="shared" si="0">IF(SUM(C29:F29)=0,"",SUM(C29:F29))</x:f>
      </x:c>
      <x:c r="C29" s="55"/>
      <x:c r="D29" s="56"/>
      <x:c r="E29" s="56"/>
      <x:c r="F29" s="1"/>
      <x:c r="G29" s="1"/>
      <x:c r="H29" s="29"/>
      <x:c r="I29" s="30"/>
      <x:c r="J29" s="1"/>
      <x:c r="K29" s="1"/>
      <x:c r="L29" s="1"/>
      <x:c r="M29" s="1"/>
      <x:c r="N29" s="1"/>
      <x:c r="O29" s="1"/>
    </x:row>
    <x:row r="30" ht="16.5">
      <x:c r="A30" s="171" t="n">
        <x:v>46196</x:v>
      </x:c>
      <x:c r="B30" s="52" t="str">
        <x:f t="shared" si="0">IF(SUM(C30:F30)=0,"",SUM(C30:F30))</x:f>
      </x:c>
      <x:c r="C30" s="53"/>
      <x:c r="D30" s="54"/>
      <x:c r="E30" s="54"/>
      <x:c r="F30" s="1"/>
      <x:c r="G30" s="1"/>
      <x:c r="H30" s="31"/>
      <x:c r="I30" s="30"/>
      <x:c r="J30" s="1"/>
      <x:c r="K30" s="1"/>
      <x:c r="L30" s="1"/>
      <x:c r="M30" s="1"/>
      <x:c r="N30" s="1"/>
      <x:c r="O30" s="1"/>
    </x:row>
    <x:row r="31" ht="16.5">
      <x:c r="A31" s="171" t="n">
        <x:v>46197</x:v>
      </x:c>
      <x:c r="B31" s="52" t="str">
        <x:f t="shared" si="0">IF(SUM(C31:F31)=0,"",SUM(C31:F31))</x:f>
      </x:c>
      <x:c r="C31" s="53"/>
      <x:c r="D31" s="54"/>
      <x:c r="E31" s="54"/>
      <x:c r="F31" s="1"/>
      <x:c r="G31" s="1"/>
      <x:c r="H31" s="29"/>
      <x:c r="I31" s="30"/>
      <x:c r="J31" s="1"/>
      <x:c r="K31" s="1"/>
      <x:c r="L31" s="1"/>
      <x:c r="M31" s="1"/>
      <x:c r="N31" s="1"/>
      <x:c r="O31" s="1"/>
    </x:row>
    <x:row r="32" ht="16.5">
      <x:c r="A32" s="171" t="n">
        <x:v>46198</x:v>
      </x:c>
      <x:c r="B32" s="52" t="str">
        <x:f t="shared" si="0">IF(SUM(C32:F32)=0,"",SUM(C32:F32))</x:f>
      </x:c>
      <x:c r="C32" s="53"/>
      <x:c r="D32" s="54"/>
      <x:c r="E32" s="54"/>
      <x:c r="F32" s="1"/>
      <x:c r="G32" s="1"/>
      <x:c r="H32" s="31"/>
      <x:c r="I32" s="30"/>
      <x:c r="J32" s="1"/>
      <x:c r="K32" s="1"/>
      <x:c r="L32" s="1"/>
      <x:c r="M32" s="1"/>
      <x:c r="N32" s="1"/>
      <x:c r="O32" s="1"/>
    </x:row>
    <x:row r="33" ht="16.5">
      <x:c r="A33" s="171" t="n">
        <x:v>46199</x:v>
      </x:c>
      <x:c r="B33" s="52" t="str">
        <x:f t="shared" si="0">IF(SUM(C33:F33)=0,"",SUM(C33:F33))</x:f>
      </x:c>
      <x:c r="C33" s="53"/>
      <x:c r="D33" s="54"/>
      <x:c r="E33" s="54"/>
      <x:c r="F33" s="1"/>
      <x:c r="G33" s="1"/>
      <x:c r="H33" s="32"/>
      <x:c r="I33" s="30"/>
      <x:c r="J33" s="1"/>
      <x:c r="K33" s="1"/>
      <x:c r="L33" s="1"/>
      <x:c r="M33" s="1"/>
      <x:c r="N33" s="1"/>
      <x:c r="O33" s="1"/>
    </x:row>
    <x:row r="34" ht="16.5">
      <x:c r="A34" s="171" t="n">
        <x:v>46200</x:v>
      </x:c>
      <x:c r="B34" s="52" t="str">
        <x:f t="shared" si="0">IF(SUM(C34:F34)=0,"",SUM(C34:F34))</x:f>
      </x:c>
      <x:c r="C34" s="53"/>
      <x:c r="D34" s="54"/>
      <x:c r="E34" s="54"/>
      <x:c r="F34" s="1"/>
      <x:c r="G34" s="1"/>
      <x:c r="H34" s="1"/>
      <x:c r="I34" s="1"/>
      <x:c r="J34" s="1"/>
      <x:c r="K34" s="1"/>
      <x:c r="L34" s="1"/>
      <x:c r="M34" s="1"/>
      <x:c r="N34" s="1"/>
      <x:c r="O34" s="1"/>
    </x:row>
    <x:row r="35" ht="16.5">
      <x:c r="A35" s="171" t="n">
        <x:v>46201</x:v>
      </x:c>
      <x:c r="B35" s="52" t="str">
        <x:f t="shared" si="0">IF(SUM(C35:F35)=0,"",SUM(C35:F35))</x:f>
      </x:c>
      <x:c r="C35" s="53"/>
      <x:c r="D35" s="54"/>
      <x:c r="E35" s="54"/>
      <x:c r="F35" s="1"/>
      <x:c r="G35" s="1"/>
      <x:c r="H35" s="1"/>
      <x:c r="I35" s="1"/>
      <x:c r="J35" s="1"/>
      <x:c r="K35" s="1"/>
      <x:c r="L35" s="1"/>
      <x:c r="M35" s="1"/>
      <x:c r="N35" s="1"/>
      <x:c r="O35" s="1"/>
    </x:row>
    <x:row r="36" ht="16.5">
      <x:c r="A36" s="171" t="n">
        <x:v>46202</x:v>
      </x:c>
      <x:c r="B36" s="52" t="str">
        <x:f t="shared" si="0">IF(SUM(C36:F36)=0,"",SUM(C36:F36))</x:f>
      </x:c>
      <x:c r="C36" s="53"/>
      <x:c r="D36" s="54"/>
      <x:c r="E36" s="54"/>
      <x:c r="F36" s="1"/>
      <x:c r="G36" s="1"/>
      <x:c r="H36" s="1"/>
      <x:c r="I36" s="1"/>
      <x:c r="J36" s="1"/>
      <x:c r="K36" s="1"/>
      <x:c r="L36" s="1"/>
      <x:c r="M36" s="1"/>
      <x:c r="N36" s="1"/>
      <x:c r="O36" s="1"/>
    </x:row>
    <x:row r="37" ht="16.5">
      <x:c r="A37" s="171" t="n">
        <x:v>46203</x:v>
      </x:c>
      <x:c r="B37" s="52" t="str">
        <x:f t="shared" si="0">IF(SUM(C37:F37)=0,"",SUM(C37:F37))</x:f>
      </x:c>
      <x:c r="C37" s="53"/>
      <x:c r="D37" s="54"/>
      <x:c r="E37" s="54"/>
      <x:c r="F37" s="1"/>
      <x:c r="G37" s="1"/>
      <x:c r="H37" s="1"/>
      <x:c r="I37" s="1"/>
      <x:c r="J37" s="1"/>
      <x:c r="K37" s="1"/>
      <x:c r="L37" s="1"/>
      <x:c r="M37" s="1"/>
      <x:c r="N37" s="1"/>
      <x:c r="O37" s="1"/>
    </x:row>
    <x:row r="38" ht="16.5">
      <x:c r="A38" s="171"/>
      <x:c r="B38" s="52" t="str">
        <x:f>IF(SUM(C38:F38)=0,"",SUM(C38:F38))</x:f>
      </x:c>
      <x:c r="C38" s="53"/>
      <x:c r="D38" s="54"/>
      <x:c r="E38" s="54"/>
      <x:c r="F38" s="1"/>
      <x:c r="G38" s="1"/>
      <x:c r="H38" s="1"/>
      <x:c r="I38" s="1"/>
      <x:c r="J38" s="1"/>
      <x:c r="K38" s="1"/>
      <x:c r="L38" s="1"/>
      <x:c r="M38" s="1"/>
      <x:c r="N38" s="1"/>
      <x:c r="O38" s="1"/>
    </x:row>
    <x:row r="39" ht="16.5">
      <x:c r="A39" s="51"/>
      <x:c r="B39" s="57" t="str">
        <x:f>IF(SUM(B8:B38)=0,"",SUM(B8:B38))</x:f>
      </x:c>
      <x:c r="C39" s="58" t="str">
        <x:f>IF(SUM(C8:C38)=0,"",SUM(C8:C38))</x:f>
      </x:c>
      <x:c r="D39" s="59" t="str">
        <x:f>IF(SUM(D8:D38)=0,"",SUM(D8:D38))</x:f>
      </x:c>
      <x:c r="E39" s="59" t="str">
        <x:f>IF(SUM(E8:E38)=0,"",SUM(E8:E38))</x:f>
      </x:c>
      <x:c r="F39" s="1" t="str">
        <x:f>IF(SUM(F8:F38)=0,"",SUM(F8:F38))</x:f>
      </x:c>
      <x:c r="G39" s="1"/>
      <x:c r="H39" s="1"/>
      <x:c r="I39" s="1"/>
      <x:c r="J39" s="1"/>
      <x:c r="K39" s="1"/>
      <x:c r="L39" s="1"/>
      <x:c r="M39" s="1"/>
      <x:c r="N39" s="1"/>
      <x:c r="O39" s="1"/>
    </x:row>
    <x:row r="40" ht="16.5">
      <x:c r="B40" s="11"/>
      <x:c r="C40" s="1"/>
      <x:c r="D40" s="19"/>
      <x:c r="E40" s="19"/>
      <x:c r="F40" s="1"/>
      <x:c r="G40" s="1"/>
      <x:c r="H40" s="1"/>
      <x:c r="I40" s="1"/>
      <x:c r="J40" s="1"/>
      <x:c r="K40" s="1"/>
      <x:c r="L40" s="1"/>
      <x:c r="M40" s="1"/>
      <x:c r="N40" s="1"/>
      <x:c r="O40" s="1"/>
    </x:row>
    <x:row r="41" ht="16.5">
      <x:c r="B41" s="11"/>
      <x:c r="C41" s="1"/>
      <x:c r="D41" s="19"/>
      <x:c r="E41" s="19"/>
      <x:c r="F41" s="1"/>
      <x:c r="G41" s="1"/>
      <x:c r="H41" s="1"/>
      <x:c r="I41" s="1"/>
      <x:c r="J41" s="1"/>
      <x:c r="K41" s="1"/>
      <x:c r="L41" s="1"/>
      <x:c r="M41" s="1"/>
      <x:c r="N41" s="1"/>
      <x:c r="O41" s="1"/>
    </x:row>
    <x:row r="42" ht="16.5">
      <x:c r="B42" s="11"/>
      <x:c r="C42" s="27"/>
      <x:c r="D42" s="19"/>
      <x:c r="E42" s="19"/>
      <x:c r="F42" s="1"/>
      <x:c r="G42" s="1"/>
      <x:c r="H42" s="1"/>
      <x:c r="I42" s="1"/>
      <x:c r="J42" s="1"/>
      <x:c r="K42" s="1"/>
      <x:c r="L42" s="1"/>
      <x:c r="M42" s="1"/>
      <x:c r="N42" s="1"/>
      <x:c r="O42" s="1"/>
    </x:row>
    <x:row r="43" ht="16.5">
      <x:c r="B43" s="11"/>
      <x:c r="C43" s="27"/>
      <x:c r="D43" s="19"/>
      <x:c r="E43" s="19"/>
      <x:c r="F43" s="1"/>
      <x:c r="G43" s="1"/>
      <x:c r="H43" s="1"/>
      <x:c r="I43" s="1"/>
      <x:c r="J43" s="1"/>
      <x:c r="K43" s="1"/>
      <x:c r="L43" s="1"/>
      <x:c r="M43" s="1"/>
      <x:c r="N43" s="1"/>
      <x:c r="O43" s="1"/>
    </x:row>
    <x:row r="44" ht="16.5">
      <x:c r="B44" s="11"/>
      <x:c r="C44" s="27"/>
      <x:c r="D44" s="19"/>
      <x:c r="E44" s="19"/>
      <x:c r="F44" s="1"/>
      <x:c r="G44" s="1"/>
      <x:c r="H44" s="1"/>
      <x:c r="I44" s="1"/>
      <x:c r="J44" s="1"/>
      <x:c r="K44" s="1"/>
      <x:c r="L44" s="1"/>
      <x:c r="M44" s="1"/>
      <x:c r="N44" s="1"/>
      <x:c r="O44" s="1"/>
    </x:row>
    <x:row r="45" ht="16.5">
      <x:c r="B45" s="11"/>
      <x:c r="C45" s="1"/>
      <x:c r="D45" s="19"/>
      <x:c r="E45" s="19"/>
      <x:c r="F45" s="1"/>
      <x:c r="G45" s="1"/>
      <x:c r="H45" s="1"/>
      <x:c r="I45" s="1"/>
      <x:c r="J45" s="1"/>
      <x:c r="K45" s="1"/>
      <x:c r="L45" s="1"/>
      <x:c r="M45" s="1"/>
      <x:c r="N45" s="1"/>
      <x:c r="O45" s="1"/>
    </x:row>
    <x:row r="46" ht="16.5">
      <x:c r="B46" s="11"/>
      <x:c r="C46" s="1"/>
      <x:c r="D46" s="19"/>
      <x:c r="E46" s="19"/>
      <x:c r="F46" s="1"/>
      <x:c r="G46" s="1"/>
      <x:c r="H46" s="1"/>
      <x:c r="I46" s="1"/>
      <x:c r="J46" s="1"/>
      <x:c r="K46" s="1"/>
      <x:c r="L46" s="1"/>
      <x:c r="M46" s="1"/>
      <x:c r="N46" s="1"/>
      <x:c r="O46" s="1"/>
    </x:row>
    <x:row r="47" ht="16.5">
      <x:c r="B47" s="11"/>
      <x:c r="C47" s="1"/>
      <x:c r="D47" s="19"/>
      <x:c r="E47" s="19"/>
      <x:c r="F47" s="1"/>
      <x:c r="G47" s="1"/>
      <x:c r="H47" s="1"/>
      <x:c r="I47" s="1"/>
      <x:c r="J47" s="1"/>
      <x:c r="K47" s="1"/>
      <x:c r="L47" s="1"/>
      <x:c r="M47" s="1"/>
      <x:c r="N47" s="1"/>
      <x:c r="O47" s="1"/>
    </x:row>
    <x:row r="48" ht="16.5">
      <x:c r="B48" s="11"/>
      <x:c r="C48" s="1"/>
      <x:c r="D48" s="19"/>
      <x:c r="E48" s="19"/>
      <x:c r="F48" s="1"/>
      <x:c r="G48" s="1"/>
      <x:c r="H48" s="1"/>
      <x:c r="I48" s="1"/>
      <x:c r="J48" s="1"/>
      <x:c r="K48" s="1"/>
      <x:c r="L48" s="1"/>
      <x:c r="M48" s="1"/>
      <x:c r="N48" s="1"/>
      <x:c r="O48" s="1"/>
    </x:row>
    <x:row r="49" ht="16.5">
      <x:c r="A49"/>
      <x:c r="B49" s="11"/>
      <x:c r="C49" s="1"/>
      <x:c r="D49" s="19"/>
      <x:c r="E49" s="19"/>
      <x:c r="F49" s="1"/>
      <x:c r="G49" s="1"/>
      <x:c r="H49" s="1"/>
      <x:c r="I49" s="1"/>
      <x:c r="J49" s="1"/>
      <x:c r="K49" s="1"/>
      <x:c r="L49" s="1"/>
      <x:c r="M49" s="1"/>
      <x:c r="N49" s="1"/>
      <x:c r="O49" s="1"/>
    </x:row>
    <x:row r="50" ht="16.5">
      <x:c r="A50"/>
      <x:c r="B50" s="11"/>
      <x:c r="C50" s="1"/>
      <x:c r="D50" s="19"/>
      <x:c r="E50" s="19"/>
      <x:c r="F50" s="1"/>
      <x:c r="G50" s="1"/>
      <x:c r="H50" s="1"/>
      <x:c r="I50" s="1"/>
      <x:c r="J50" s="1"/>
      <x:c r="K50" s="1"/>
      <x:c r="L50" s="1"/>
      <x:c r="M50" s="1"/>
      <x:c r="N50" s="1"/>
      <x:c r="O50" s="1"/>
    </x:row>
    <x:row r="51" ht="16.5">
      <x:c r="A51"/>
      <x:c r="B51" s="11"/>
      <x:c r="C51" s="1"/>
      <x:c r="D51" s="19"/>
      <x:c r="E51" s="19"/>
      <x:c r="F51" s="1"/>
      <x:c r="G51" s="1"/>
      <x:c r="H51" s="1"/>
      <x:c r="I51" s="1"/>
      <x:c r="J51" s="1"/>
      <x:c r="K51" s="1"/>
      <x:c r="L51" s="1"/>
      <x:c r="M51" s="1"/>
      <x:c r="N51" s="1"/>
      <x:c r="O51" s="1"/>
    </x:row>
    <x:row r="52" ht="16.5">
      <x:c r="A52"/>
      <x:c r="B52" s="11"/>
      <x:c r="C52" s="1"/>
      <x:c r="D52" s="19"/>
      <x:c r="E52" s="19"/>
      <x:c r="F52" s="1"/>
      <x:c r="G52" s="1"/>
      <x:c r="H52" s="1"/>
      <x:c r="I52" s="1"/>
      <x:c r="J52" s="1"/>
      <x:c r="K52" s="1"/>
      <x:c r="L52" s="1"/>
      <x:c r="M52" s="1"/>
      <x:c r="N52" s="1"/>
      <x:c r="O52" s="1"/>
    </x:row>
    <x:row r="53" ht="16.5">
      <x:c r="A53"/>
      <x:c r="B53" s="11"/>
      <x:c r="C53" s="1"/>
      <x:c r="D53" s="19"/>
      <x:c r="E53" s="19"/>
      <x:c r="F53" s="1"/>
      <x:c r="G53" s="1"/>
      <x:c r="H53" s="1"/>
      <x:c r="I53" s="1"/>
      <x:c r="J53" s="1"/>
      <x:c r="K53" s="1"/>
      <x:c r="L53" s="1"/>
      <x:c r="M53" s="1"/>
      <x:c r="N53" s="1"/>
      <x:c r="O53" s="1"/>
    </x:row>
    <x:row r="54" ht="16.5">
      <x:c r="A54"/>
      <x:c r="B54" s="11"/>
      <x:c r="C54" s="1"/>
      <x:c r="D54" s="19"/>
      <x:c r="E54" s="19"/>
      <x:c r="F54" s="1"/>
      <x:c r="G54" s="1"/>
      <x:c r="H54" s="1"/>
      <x:c r="I54" s="1"/>
      <x:c r="J54" s="1"/>
      <x:c r="K54" s="1"/>
      <x:c r="L54" s="1"/>
      <x:c r="M54" s="1"/>
      <x:c r="N54" s="1"/>
      <x:c r="O54" s="1"/>
    </x:row>
    <x:row r="55" ht="16.5">
      <x:c r="A55"/>
      <x:c r="B55" s="11"/>
      <x:c r="C55" s="1"/>
      <x:c r="D55" s="19"/>
      <x:c r="E55" s="19"/>
      <x:c r="F55" s="1"/>
      <x:c r="G55" s="1"/>
      <x:c r="H55" s="1"/>
      <x:c r="I55" s="1"/>
      <x:c r="J55" s="1"/>
      <x:c r="K55" s="1"/>
      <x:c r="L55" s="1"/>
      <x:c r="M55" s="1"/>
      <x:c r="N55" s="1"/>
      <x:c r="O55" s="1"/>
    </x:row>
    <x:row r="56" ht="16.5">
      <x:c r="A56"/>
      <x:c r="B56" s="11"/>
      <x:c r="C56" s="1"/>
      <x:c r="D56" s="19"/>
      <x:c r="E56" s="19"/>
      <x:c r="F56" s="1"/>
      <x:c r="G56" s="1"/>
      <x:c r="H56" s="1"/>
      <x:c r="I56" s="1"/>
      <x:c r="J56" s="1"/>
      <x:c r="K56" s="1"/>
      <x:c r="L56" s="1"/>
      <x:c r="M56" s="1"/>
      <x:c r="N56" s="1"/>
      <x:c r="O56" s="1"/>
    </x:row>
    <x:row r="57" ht="16.5">
      <x:c r="A57"/>
      <x:c r="B57" s="11"/>
      <x:c r="C57" s="1"/>
      <x:c r="D57" s="19"/>
      <x:c r="E57" s="19"/>
      <x:c r="F57" s="1"/>
      <x:c r="G57" s="1"/>
      <x:c r="H57" s="1"/>
      <x:c r="I57" s="1"/>
      <x:c r="J57" s="1"/>
      <x:c r="K57" s="1"/>
      <x:c r="L57" s="1"/>
      <x:c r="M57" s="1"/>
      <x:c r="N57" s="1"/>
      <x:c r="O57" s="1"/>
    </x:row>
    <x:row r="58" ht="16.5">
      <x:c r="A58"/>
      <x:c r="B58" s="11"/>
      <x:c r="C58" s="1"/>
      <x:c r="D58" s="19"/>
      <x:c r="E58" s="19"/>
      <x:c r="F58" s="1"/>
      <x:c r="G58" s="1"/>
      <x:c r="H58" s="1"/>
      <x:c r="I58" s="1"/>
      <x:c r="J58" s="1"/>
      <x:c r="K58" s="1"/>
      <x:c r="L58" s="1"/>
      <x:c r="M58" s="1"/>
      <x:c r="N58" s="1"/>
      <x:c r="O58" s="1"/>
    </x:row>
    <x:row r="59" ht="16.5">
      <x:c r="A59"/>
      <x:c r="B59" s="11"/>
      <x:c r="C59" s="1"/>
      <x:c r="D59" s="19"/>
      <x:c r="E59" s="19"/>
      <x:c r="F59" s="1"/>
      <x:c r="G59" s="1"/>
      <x:c r="H59" s="1"/>
      <x:c r="I59" s="1"/>
      <x:c r="J59" s="1"/>
      <x:c r="K59" s="1"/>
      <x:c r="L59" s="1"/>
      <x:c r="M59" s="1"/>
      <x:c r="N59" s="1"/>
      <x:c r="O59" s="1"/>
    </x:row>
    <x:row r="60" ht="16.5">
      <x:c r="A60"/>
      <x:c r="B60" s="11"/>
      <x:c r="C60" s="1"/>
      <x:c r="D60" s="19"/>
      <x:c r="E60" s="19"/>
      <x:c r="F60" s="1"/>
      <x:c r="G60" s="1"/>
      <x:c r="H60" s="1"/>
      <x:c r="I60" s="1"/>
      <x:c r="J60" s="1"/>
      <x:c r="K60" s="1"/>
      <x:c r="L60" s="1"/>
      <x:c r="M60" s="1"/>
      <x:c r="N60" s="1"/>
      <x:c r="O60" s="1"/>
    </x:row>
    <x:row r="61" ht="16.5">
      <x:c r="A61"/>
      <x:c r="B61" s="11"/>
      <x:c r="C61" s="1"/>
      <x:c r="D61" s="19"/>
      <x:c r="E61" s="19"/>
      <x:c r="F61" s="1"/>
      <x:c r="G61" s="1"/>
      <x:c r="H61" s="1"/>
      <x:c r="I61" s="1"/>
      <x:c r="J61" s="1"/>
      <x:c r="K61" s="1"/>
      <x:c r="L61" s="1"/>
      <x:c r="M61" s="1"/>
      <x:c r="N61" s="1"/>
      <x:c r="O61" s="1"/>
    </x:row>
    <x:row r="62" ht="16.5">
      <x:c r="A62"/>
      <x:c r="B62" s="11"/>
      <x:c r="C62" s="1"/>
      <x:c r="D62" s="19"/>
      <x:c r="E62" s="19"/>
      <x:c r="F62" s="1"/>
      <x:c r="G62" s="1"/>
      <x:c r="H62" s="1"/>
      <x:c r="I62" s="1"/>
      <x:c r="J62" s="1"/>
      <x:c r="K62" s="1"/>
      <x:c r="L62" s="1"/>
      <x:c r="M62" s="1"/>
      <x:c r="N62" s="1"/>
      <x:c r="O62" s="1"/>
    </x:row>
    <x:row r="63" ht="16.5">
      <x:c r="A63"/>
      <x:c r="B63" s="11"/>
      <x:c r="C63" s="1"/>
      <x:c r="D63" s="19"/>
      <x:c r="E63" s="19"/>
      <x:c r="F63" s="1"/>
      <x:c r="G63" s="1"/>
      <x:c r="H63" s="1"/>
      <x:c r="I63" s="1"/>
      <x:c r="J63" s="1"/>
      <x:c r="K63" s="1"/>
      <x:c r="L63" s="1"/>
      <x:c r="M63" s="1"/>
      <x:c r="N63" s="1"/>
      <x:c r="O63" s="1"/>
    </x:row>
    <x:row r="64" ht="16.5">
      <x:c r="A64"/>
      <x:c r="B64" s="11"/>
      <x:c r="C64" s="1"/>
      <x:c r="D64" s="19"/>
      <x:c r="E64" s="19"/>
      <x:c r="F64" s="1"/>
      <x:c r="G64" s="1"/>
      <x:c r="H64" s="1"/>
      <x:c r="I64" s="1"/>
      <x:c r="J64" s="1"/>
      <x:c r="K64" s="1"/>
      <x:c r="L64" s="1"/>
      <x:c r="M64" s="1"/>
      <x:c r="N64" s="1"/>
      <x:c r="O64" s="1"/>
    </x:row>
    <x:row r="65" ht="16.5">
      <x:c r="A65"/>
      <x:c r="B65" s="11"/>
      <x:c r="C65" s="1"/>
      <x:c r="D65" s="19"/>
      <x:c r="E65" s="19"/>
      <x:c r="F65" s="1"/>
      <x:c r="G65" s="1"/>
      <x:c r="H65" s="1"/>
      <x:c r="I65" s="1"/>
      <x:c r="J65" s="1"/>
      <x:c r="K65" s="1"/>
      <x:c r="L65" s="1"/>
      <x:c r="M65" s="1"/>
      <x:c r="N65" s="1"/>
      <x:c r="O65" s="1"/>
    </x:row>
    <x:row r="66" ht="16.5">
      <x:c r="A66"/>
      <x:c r="B66" s="11"/>
      <x:c r="C66" s="1"/>
      <x:c r="D66" s="19"/>
      <x:c r="E66" s="19"/>
      <x:c r="F66" s="1"/>
      <x:c r="G66" s="1"/>
      <x:c r="H66" s="1"/>
      <x:c r="I66" s="1"/>
      <x:c r="J66" s="1"/>
      <x:c r="K66" s="1"/>
      <x:c r="L66" s="1"/>
      <x:c r="M66" s="1"/>
      <x:c r="N66" s="1"/>
      <x:c r="O66" s="1"/>
    </x:row>
    <x:row r="67" ht="16.5">
      <x:c r="A67"/>
      <x:c r="B67" s="11"/>
      <x:c r="C67" s="1"/>
      <x:c r="D67" s="19"/>
      <x:c r="E67" s="19"/>
      <x:c r="F67" s="1"/>
      <x:c r="G67" s="1"/>
      <x:c r="H67" s="1"/>
      <x:c r="I67" s="1"/>
      <x:c r="J67" s="1"/>
      <x:c r="K67" s="1"/>
      <x:c r="L67" s="1"/>
      <x:c r="M67" s="1"/>
      <x:c r="N67" s="1"/>
      <x:c r="O67" s="1"/>
    </x:row>
    <x:row r="68" ht="16.5">
      <x:c r="A68"/>
      <x:c r="B68" s="11"/>
      <x:c r="C68" s="1"/>
      <x:c r="D68" s="19"/>
      <x:c r="E68" s="19"/>
      <x:c r="F68" s="1"/>
      <x:c r="G68" s="1"/>
      <x:c r="H68" s="1"/>
      <x:c r="I68" s="1"/>
      <x:c r="J68" s="1"/>
      <x:c r="K68" s="1"/>
      <x:c r="L68" s="1"/>
      <x:c r="M68" s="1"/>
      <x:c r="N68" s="1"/>
      <x:c r="O68" s="1"/>
    </x:row>
    <x:row r="69" ht="16.5">
      <x:c r="A69"/>
      <x:c r="B69" s="11"/>
      <x:c r="C69" s="1"/>
      <x:c r="D69" s="19"/>
      <x:c r="E69" s="19"/>
      <x:c r="F69" s="1"/>
      <x:c r="G69" s="1"/>
      <x:c r="H69" s="1"/>
      <x:c r="I69" s="1"/>
      <x:c r="J69" s="1"/>
      <x:c r="K69" s="1"/>
      <x:c r="L69" s="1"/>
      <x:c r="M69" s="1"/>
      <x:c r="N69" s="1"/>
      <x:c r="O69" s="1"/>
    </x:row>
    <x:row r="70" ht="16.5">
      <x:c r="A70"/>
      <x:c r="B70" s="11"/>
      <x:c r="C70" s="1"/>
      <x:c r="D70" s="19"/>
      <x:c r="E70" s="19"/>
      <x:c r="F70" s="1"/>
      <x:c r="G70" s="1"/>
      <x:c r="H70" s="1"/>
      <x:c r="I70" s="1"/>
      <x:c r="J70" s="1"/>
      <x:c r="K70" s="1"/>
      <x:c r="L70" s="1"/>
      <x:c r="M70" s="1"/>
      <x:c r="N70" s="1"/>
      <x:c r="O70" s="1"/>
    </x:row>
    <x:row r="71" ht="16.5">
      <x:c r="A71"/>
      <x:c r="B71" s="11"/>
      <x:c r="C71" s="1"/>
      <x:c r="D71" s="19"/>
      <x:c r="E71" s="19"/>
      <x:c r="F71" s="1"/>
      <x:c r="G71" s="1"/>
      <x:c r="H71" s="1"/>
      <x:c r="I71" s="1"/>
      <x:c r="J71" s="1"/>
      <x:c r="K71" s="1"/>
      <x:c r="L71" s="1"/>
      <x:c r="M71" s="1"/>
      <x:c r="N71" s="1"/>
      <x:c r="O71" s="1"/>
    </x:row>
    <x:row r="72" ht="16.5">
      <x:c r="A72"/>
      <x:c r="B72" s="11"/>
      <x:c r="C72" s="1"/>
      <x:c r="D72" s="19"/>
      <x:c r="E72" s="19"/>
      <x:c r="F72" s="1"/>
      <x:c r="G72" s="1"/>
      <x:c r="H72" s="1"/>
      <x:c r="I72" s="1"/>
      <x:c r="J72" s="1"/>
      <x:c r="K72" s="1"/>
      <x:c r="L72" s="1"/>
      <x:c r="M72" s="1"/>
      <x:c r="N72" s="1"/>
      <x:c r="O72" s="1"/>
    </x:row>
    <x:row r="73" ht="16.5">
      <x:c r="A73"/>
      <x:c r="B73" s="11"/>
      <x:c r="C73" s="1"/>
      <x:c r="D73" s="19"/>
      <x:c r="E73" s="19"/>
      <x:c r="F73" s="1"/>
      <x:c r="G73" s="1"/>
      <x:c r="H73" s="1"/>
      <x:c r="I73" s="1"/>
      <x:c r="J73" s="1"/>
      <x:c r="K73" s="1"/>
      <x:c r="L73" s="1"/>
      <x:c r="M73" s="1"/>
      <x:c r="N73" s="1"/>
      <x:c r="O73" s="1"/>
    </x:row>
    <x:row r="74" ht="16.5">
      <x:c r="A74"/>
      <x:c r="B74" s="11"/>
      <x:c r="C74" s="1"/>
      <x:c r="D74" s="19"/>
      <x:c r="E74" s="19"/>
      <x:c r="F74" s="1"/>
      <x:c r="G74" s="1"/>
      <x:c r="H74" s="1"/>
      <x:c r="I74" s="1"/>
      <x:c r="J74" s="1"/>
      <x:c r="K74" s="1"/>
      <x:c r="L74" s="1"/>
      <x:c r="M74" s="1"/>
      <x:c r="N74" s="1"/>
      <x:c r="O74" s="1"/>
    </x:row>
    <x:row r="75" ht="16.5">
      <x:c r="A75"/>
      <x:c r="B75" s="11"/>
      <x:c r="C75" s="1"/>
      <x:c r="D75" s="19"/>
      <x:c r="E75" s="19"/>
      <x:c r="F75" s="1"/>
      <x:c r="G75" s="1"/>
      <x:c r="H75" s="1"/>
      <x:c r="I75" s="1"/>
      <x:c r="J75" s="1"/>
      <x:c r="K75" s="1"/>
      <x:c r="L75" s="1"/>
      <x:c r="M75" s="1"/>
      <x:c r="N75" s="1"/>
      <x:c r="O75" s="1"/>
    </x:row>
    <x:row r="76" ht="16.5">
      <x:c r="A76"/>
      <x:c r="B76" s="11"/>
      <x:c r="C76" s="1"/>
      <x:c r="D76" s="19"/>
      <x:c r="E76" s="19"/>
      <x:c r="F76" s="1"/>
      <x:c r="G76" s="1"/>
      <x:c r="H76" s="1"/>
      <x:c r="I76" s="1"/>
      <x:c r="J76" s="1"/>
      <x:c r="K76" s="1"/>
      <x:c r="L76" s="1"/>
      <x:c r="M76" s="1"/>
      <x:c r="N76" s="1"/>
      <x:c r="O76" s="1"/>
    </x:row>
    <x:row r="77" ht="16.5">
      <x:c r="A77"/>
      <x:c r="B77" s="11"/>
      <x:c r="C77" s="1"/>
      <x:c r="D77" s="19"/>
      <x:c r="E77" s="19"/>
      <x:c r="F77" s="1"/>
      <x:c r="G77" s="1"/>
      <x:c r="H77" s="1"/>
      <x:c r="I77" s="1"/>
      <x:c r="J77" s="1"/>
      <x:c r="K77" s="1"/>
      <x:c r="L77" s="1"/>
      <x:c r="M77" s="1"/>
      <x:c r="N77" s="1"/>
      <x:c r="O77" s="1"/>
    </x:row>
  </x:sheetData>
  <x:mergeCells>
    <x:mergeCell ref="G5:I5"/>
  </x:mergeCells>
  <x:pageMargins left="0.7" right="0.7" top="0.75" bottom="0.75" header="0.3" footer="0.3"/>
  <x:drawing xmlns:r="http://schemas.openxmlformats.org/officeDocument/2006/relationships" r:id="R89e1ca16bbaa4fd5"/>
</x:worksheet>
</file>

<file path=xl/worksheets/sheet14.xml><?xml version="1.0" encoding="utf-8"?>
<x:worksheet xmlns:x="http://schemas.openxmlformats.org/spreadsheetml/2006/main">
  <x:sheetPr>
    <x:tabColor rgb="FFFF33CC"/>
  </x:sheetPr>
  <x:sheetFormatPr defaultRowHeight="15"/>
  <x:cols>
    <x:col min="1" max="1" width="16.42578125" customWidth="1"/>
    <x:col min="2" max="2" width="15.140625" customWidth="1"/>
  </x:cols>
  <x:sheetData>
    <x:row r="1" ht="60" customHeight="1">
      <x:c r="A1" s="149" t="s">
        <x:v>34</x:v>
      </x:c>
      <x:c r="B1" s="150"/>
      <x:c r="C1" s="150"/>
      <x:c r="D1" s="150"/>
      <x:c r="E1" s="150"/>
      <x:c r="F1" s="150"/>
      <x:c r="G1" s="150"/>
      <x:c r="H1" s="150"/>
      <x:c r="I1" s="150"/>
      <x:c r="J1" s="150"/>
      <x:c r="K1" s="150"/>
      <x:c r="L1" s="150"/>
      <x:c r="M1" s="150"/>
      <x:c r="N1" s="150"/>
      <x:c r="O1" s="150"/>
      <x:c r="P1" s="150"/>
      <x:c r="Q1" s="150"/>
      <x:c r="R1" s="150"/>
      <x:c r="S1" s="150"/>
      <x:c r="T1" s="150"/>
    </x:row>
    <x:row r="2" ht="42" customHeight="1">
      <x:c r="A2"/>
      <x:c r="B2"/>
      <x:c r="C2"/>
    </x:row>
    <x:row r="3" ht="22.5" customHeight="1">
      <x:c r="A3" s="144" t="s">
        <x:v>35</x:v>
      </x:c>
      <x:c r="B3" s="145"/>
      <x:c r="C3" s="146"/>
    </x:row>
    <x:row r="4" ht="17.25">
      <x:c r="A4" s="44"/>
      <x:c r="B4" s="45"/>
      <x:c r="C4" s="46"/>
    </x:row>
    <x:row r="5" ht="17.25">
      <x:c r="A5" s="71" t="s">
        <x:v>36</x:v>
      </x:c>
      <x:c r="B5" s="72" t="str">
        <x:f>IF('SHOP JUNE 2026 (4)'!B40="","",'SHOP JUNE 2026 (4)'!B40)</x:f>
      </x:c>
      <x:c r="C5" s="47" t="str">
        <x:f>IFERROR(B5/B7,"")</x:f>
      </x:c>
    </x:row>
    <x:row r="6" ht="18">
      <x:c r="A6" s="73" t="s">
        <x:v>37</x:v>
      </x:c>
      <x:c r="B6" s="74" t="str">
        <x:f>IF('THIRD PARTY JUNE 2026 (4)'!B39="","",'THIRD PARTY JUNE 2026 (4)'!B39)</x:f>
      </x:c>
      <x:c r="C6" s="47" t="str">
        <x:f>IFERROR(B6/B7,"")</x:f>
      </x:c>
    </x:row>
    <x:row r="7" ht="16.5">
      <x:c r="A7" s="43"/>
      <x:c r="B7" s="42" t="str">
        <x:f>IF(SUM(B5:B6)=0,"",SUM(B5:B6))</x:f>
      </x:c>
      <x:c r="C7" s="48" t="str">
        <x:f>IF(SUM(C5:C6)=0,"",SUM(C5:C6))</x:f>
      </x:c>
    </x:row>
  </x:sheetData>
  <x:mergeCells>
    <x:mergeCell ref="A3:C3"/>
    <x:mergeCell ref="A1:T1"/>
  </x:mergeCells>
  <x:pageMargins left="0.7" right="0.7" top="0.75" bottom="0.75" header="0.3" footer="0.3"/>
  <x:drawing xmlns:r="http://schemas.openxmlformats.org/officeDocument/2006/relationships" r:id="Rffdeceb5481f449e"/>
</x:worksheet>
</file>

<file path=xl/worksheets/sheet15.xml><?xml version="1.0" encoding="utf-8"?>
<x:worksheet xmlns:x="http://schemas.openxmlformats.org/spreadsheetml/2006/main">
  <x:sheetPr>
    <x:tabColor theme="9" tint="0.39998"/>
  </x:sheetPr>
  <x:sheetFormatPr defaultRowHeight="15"/>
  <x:cols>
    <x:col min="1" max="1" width="23.28515625" style="14" customWidth="1"/>
    <x:col min="2" max="2" width="15.5703125" style="6" customWidth="1"/>
    <x:col min="3" max="3" width="19" customWidth="1"/>
    <x:col min="4" max="4" width="13.85546875" style="20" customWidth="1"/>
    <x:col min="5" max="5" width="20.5703125" style="20" customWidth="1"/>
    <x:col min="6" max="6" width="13.85546875" style="8" customWidth="1"/>
    <x:col min="7" max="7" width="13.85546875" style="9" customWidth="1"/>
    <x:col min="9" max="9" width="17" customWidth="1"/>
    <x:col min="10" max="10" width="13.140625" customWidth="1"/>
    <x:col min="11" max="11" width="9.140625" customWidth="1"/>
  </x:cols>
  <x:sheetData>
    <x:row r="2" ht="18">
      <x:c r="A2" s="16" t="str">
        <x:v>DAILY SALES (6B)  - JULY 2026</x:v>
      </x:c>
      <x:c r="B2" s="16"/>
      <x:c r="C2" s="16"/>
      <x:c r="D2" s="18"/>
      <x:c r="E2" s="18"/>
      <x:c r="F2" s="16"/>
      <x:c r="G2" s="18"/>
      <x:c r="H2" s="16"/>
      <x:c r="I2" s="16"/>
      <x:c r="J2" s="16"/>
      <x:c r="K2" s="16"/>
      <x:c r="L2" s="16"/>
      <x:c r="M2" s="16"/>
      <x:c r="N2" s="16"/>
      <x:c r="O2" s="16"/>
      <x:c r="P2" s="16"/>
    </x:row>
    <x:row r="3" ht="18">
      <x:c r="B3" s="24"/>
      <x:c r="C3" s="24"/>
      <x:c r="D3" s="18"/>
      <x:c r="E3" s="18"/>
      <x:c r="F3" s="24"/>
      <x:c r="G3" s="24"/>
      <x:c r="H3" s="24"/>
      <x:c r="I3" s="24"/>
      <x:c r="J3" s="24"/>
      <x:c r="K3" s="24"/>
      <x:c r="L3" s="24"/>
      <x:c r="M3" s="24"/>
      <x:c r="N3" s="24"/>
      <x:c r="O3" s="24"/>
      <x:c r="P3" s="24"/>
    </x:row>
    <x:row r="4" ht="16.5">
      <x:c r="B4" s="11"/>
      <x:c r="C4" s="1"/>
      <x:c r="D4" s="19"/>
      <x:c r="E4" s="19"/>
      <x:c r="F4" s="12"/>
      <x:c r="G4" s="13"/>
      <x:c r="H4" s="1"/>
      <x:c r="I4" s="1"/>
      <x:c r="J4" s="1"/>
      <x:c r="K4" s="1"/>
      <x:c r="L4" s="1"/>
      <x:c r="M4" s="1"/>
      <x:c r="N4" s="1"/>
      <x:c r="O4" s="1"/>
      <x:c r="P4" s="1"/>
    </x:row>
    <x:row r="5" ht="16.5">
      <x:c r="A5" s="21" t="s">
        <x:v>21</x:v>
      </x:c>
      <x:c r="B5" s="22" t="s">
        <x:v>22</x:v>
      </x:c>
      <x:c r="C5" s="106" t="s">
        <x:v>23</x:v>
      </x:c>
      <x:c r="D5" s="139" t="s">
        <x:v>24</x:v>
      </x:c>
      <x:c r="E5" s="140"/>
      <x:c r="F5" s="139" t="s">
        <x:v>25</x:v>
      </x:c>
      <x:c r="G5" s="141"/>
      <x:c r="H5" s="2"/>
      <x:c r="I5" s="135" t="s">
        <x:v>26</x:v>
      </x:c>
      <x:c r="J5" s="135"/>
      <x:c r="K5" s="135"/>
      <x:c r="L5" s="1"/>
      <x:c r="M5" s="1"/>
      <x:c r="N5" s="1"/>
      <x:c r="O5" s="1"/>
      <x:c r="P5" s="1"/>
    </x:row>
    <x:row r="6" ht="16.5">
      <x:c r="A6" s="21"/>
      <x:c r="B6" s="22"/>
      <x:c r="C6" s="23"/>
      <x:c r="D6" s="26" t="s">
        <x:v>27</x:v>
      </x:c>
      <x:c r="E6" s="26" t="s">
        <x:v>28</x:v>
      </x:c>
      <x:c r="F6" s="26" t="s">
        <x:v>29</x:v>
      </x:c>
      <x:c r="G6" s="26" t="s">
        <x:v>30</x:v>
      </x:c>
      <x:c r="H6" s="2"/>
      <x:c r="I6" s="17"/>
      <x:c r="J6" s="17"/>
      <x:c r="K6" s="17"/>
      <x:c r="L6" s="1"/>
      <x:c r="M6" s="1"/>
      <x:c r="N6" s="1"/>
      <x:c r="O6" s="1"/>
      <x:c r="P6" s="1"/>
    </x:row>
    <x:row r="7" ht="16.5">
      <x:c r="A7" s="15"/>
      <x:c r="B7" s="7"/>
      <x:c r="C7" s="5"/>
      <x:c r="D7" s="17"/>
      <x:c r="E7" s="17"/>
      <x:c r="F7" s="17"/>
      <x:c r="G7" s="17"/>
      <x:c r="H7" s="2"/>
      <x:c r="I7" s="17"/>
      <x:c r="J7" s="17"/>
      <x:c r="K7" s="17"/>
      <x:c r="L7" s="1"/>
      <x:c r="M7" s="1"/>
      <x:c r="N7" s="1"/>
      <x:c r="O7" s="1"/>
      <x:c r="P7" s="1"/>
    </x:row>
    <x:row r="8" ht="16.5">
      <x:c r="A8" s="171" t="n">
        <x:v>46204</x:v>
      </x:c>
      <x:c r="B8" s="52" t="str">
        <x:f>IF(SUM(C8:G8)=0,"",SUM(C8:G8))</x:f>
      </x:c>
      <x:c r="C8" s="52"/>
      <x:c r="D8" s="54"/>
      <x:c r="E8" s="54"/>
      <x:c r="F8" s="53" t="str">
        <x:f>IF('RETAIL &amp; PRINT'!K11="","",'RETAIL &amp; PRINT'!K11)</x:f>
      </x:c>
      <x:c r="G8" s="53" t="str">
        <x:f>IF(F8="","",F8*10%)</x:f>
      </x:c>
      <x:c r="H8" s="1"/>
      <x:c r="I8" s="3" t="str">
        <x:f>C5</x:f>
        <x:v>Footwear</x:v>
      </x:c>
      <x:c r="J8" s="10" t="str">
        <x:f>IF(C39="","",C39)</x:f>
      </x:c>
      <x:c r="K8" s="4" t="str">
        <x:f>IFERROR(C39/B40,"")</x:f>
      </x:c>
      <x:c r="L8" s="1"/>
      <x:c r="M8" s="1"/>
      <x:c r="N8" s="1"/>
      <x:c r="O8" s="1"/>
      <x:c r="P8" s="1"/>
    </x:row>
    <x:row r="9" ht="16.5">
      <x:c r="A9" s="171" t="n">
        <x:v>46205</x:v>
      </x:c>
      <x:c r="B9" s="52" t="str">
        <x:f t="shared" ref="B9:B38" si="0">IF(SUM(C9:G9)=0,"",SUM(C9:G9))</x:f>
      </x:c>
      <x:c r="C9" s="52"/>
      <x:c r="D9" s="54"/>
      <x:c r="E9" s="54"/>
      <x:c r="F9" s="53" t="str">
        <x:f>IF('RETAIL &amp; PRINT'!K12="","",'RETAIL &amp; PRINT'!K12)</x:f>
      </x:c>
      <x:c r="G9" s="53" t="str">
        <x:f t="shared" ref="G9:G38" si="1">IF(F9="","",F9*10%)</x:f>
      </x:c>
      <x:c r="H9" s="1"/>
      <x:c r="I9" s="3" t="str">
        <x:f>D5</x:f>
        <x:v>Deep Cleaning</x:v>
      </x:c>
      <x:c r="J9" s="10" t="str">
        <x:f>IF(D40="","",D40)</x:f>
      </x:c>
      <x:c r="K9" s="4" t="str">
        <x:f>IFERROR(D40/$B$40,"")</x:f>
      </x:c>
      <x:c r="L9" s="1"/>
      <x:c r="M9" s="1"/>
      <x:c r="N9" s="1"/>
      <x:c r="O9" s="1"/>
      <x:c r="P9" s="1"/>
    </x:row>
    <x:row r="10" ht="16.5">
      <x:c r="A10" s="171" t="n">
        <x:v>46206</x:v>
      </x:c>
      <x:c r="B10" s="52" t="str">
        <x:f t="shared" si="0">IF(SUM(C10:G10)=0,"",SUM(C10:G10))</x:f>
      </x:c>
      <x:c r="C10" s="53"/>
      <x:c r="D10" s="54"/>
      <x:c r="E10" s="54"/>
      <x:c r="F10" s="53" t="str">
        <x:f>IF('RETAIL &amp; PRINT'!K13="","",'RETAIL &amp; PRINT'!K13)</x:f>
      </x:c>
      <x:c r="G10" s="53" t="str">
        <x:f t="shared" si="1">IF(F10="","",F10*10%)</x:f>
      </x:c>
      <x:c r="H10" s="1"/>
      <x:c r="I10" s="3" t="str">
        <x:f>F5</x:f>
        <x:v>Print &amp; Retail</x:v>
      </x:c>
      <x:c r="J10" s="10" t="str">
        <x:f>IF(F40="","",F40)</x:f>
      </x:c>
      <x:c r="K10" s="4" t="str">
        <x:f>IFERROR(SUM(F39:G39)/B40,"")</x:f>
      </x:c>
      <x:c r="L10" s="1"/>
      <x:c r="M10" s="1"/>
      <x:c r="N10" s="1"/>
      <x:c r="O10" s="1"/>
      <x:c r="P10" s="1"/>
    </x:row>
    <x:row r="11" ht="16.5">
      <x:c r="A11" s="171" t="n">
        <x:v>46207</x:v>
      </x:c>
      <x:c r="B11" s="52" t="str">
        <x:f t="shared" si="0">IF(SUM(C11:G11)=0,"",SUM(C11:G11))</x:f>
      </x:c>
      <x:c r="C11" s="53"/>
      <x:c r="D11" s="54"/>
      <x:c r="E11" s="54"/>
      <x:c r="F11" s="53" t="str">
        <x:f>IF('RETAIL &amp; PRINT'!K14="","",'RETAIL &amp; PRINT'!K14)</x:f>
      </x:c>
      <x:c r="G11" s="53" t="str">
        <x:f t="shared" si="1">IF(F11="","",F11*10%)</x:f>
      </x:c>
      <x:c r="H11" s="1"/>
      <x:c r="I11" s="3"/>
      <x:c r="J11" s="10"/>
      <x:c r="K11" s="4"/>
      <x:c r="L11" s="1"/>
      <x:c r="M11" s="1"/>
      <x:c r="N11" s="1"/>
      <x:c r="O11" s="1"/>
      <x:c r="P11" s="1"/>
    </x:row>
    <x:row r="12" ht="16.5">
      <x:c r="A12" s="171" t="n">
        <x:v>46208</x:v>
      </x:c>
      <x:c r="B12" s="52" t="str">
        <x:f t="shared" si="0">IF(SUM(C12:G12)=0,"",SUM(C12:G12))</x:f>
      </x:c>
      <x:c r="C12" s="53"/>
      <x:c r="D12" s="54"/>
      <x:c r="E12" s="54"/>
      <x:c r="F12" s="53" t="str">
        <x:f>IF('RETAIL &amp; PRINT'!K15="","",'RETAIL &amp; PRINT'!K15)</x:f>
      </x:c>
      <x:c r="G12" s="53" t="str">
        <x:f t="shared" si="1">IF(F12="","",F12*10%)</x:f>
      </x:c>
      <x:c r="H12" s="1"/>
      <x:c r="I12" s="3"/>
      <x:c r="J12" s="10" t="str">
        <x:f>IF(SUM(J8:J11)=0,"",SUM(J8:J11))</x:f>
      </x:c>
      <x:c r="K12" s="4" t="str">
        <x:f>IF(SUM(K8:K11)=0,"",SUM(K8:K11))</x:f>
      </x:c>
      <x:c r="L12" s="1"/>
      <x:c r="M12" s="1"/>
      <x:c r="N12" s="1"/>
      <x:c r="O12" s="1"/>
      <x:c r="P12" s="1"/>
    </x:row>
    <x:row r="13" ht="16.5">
      <x:c r="A13" s="171" t="n">
        <x:v>46209</x:v>
      </x:c>
      <x:c r="B13" s="52" t="str">
        <x:f t="shared" si="0">IF(SUM(C13:G13)=0,"",SUM(C13:G13))</x:f>
      </x:c>
      <x:c r="C13" s="99"/>
      <x:c r="D13" s="100"/>
      <x:c r="E13" s="100"/>
      <x:c r="F13" s="53" t="str">
        <x:f>IF('RETAIL &amp; PRINT'!K16="","",'RETAIL &amp; PRINT'!K16)</x:f>
      </x:c>
      <x:c r="G13" s="53" t="str">
        <x:f t="shared" si="1">IF(F13="","",F13*10%)</x:f>
      </x:c>
      <x:c r="H13" s="1"/>
      <x:c r="I13" s="1"/>
      <x:c r="J13" s="1"/>
      <x:c r="K13" s="1"/>
      <x:c r="L13" s="1"/>
      <x:c r="M13" s="1"/>
      <x:c r="N13" s="1"/>
      <x:c r="O13" s="1"/>
      <x:c r="P13" s="1"/>
    </x:row>
    <x:row r="14" ht="16.5">
      <x:c r="A14" s="171" t="n">
        <x:v>46210</x:v>
      </x:c>
      <x:c r="B14" s="52" t="str">
        <x:f t="shared" si="0">IF(SUM(C14:G14)=0,"",SUM(C14:G14))</x:f>
      </x:c>
      <x:c r="C14" s="99"/>
      <x:c r="D14" s="100"/>
      <x:c r="E14" s="100"/>
      <x:c r="F14" s="53" t="str">
        <x:f>IF('RETAIL &amp; PRINT'!K17="","",'RETAIL &amp; PRINT'!K17)</x:f>
      </x:c>
      <x:c r="G14" s="53" t="str">
        <x:f t="shared" si="1">IF(F14="","",F14*10%)</x:f>
      </x:c>
      <x:c r="H14" s="1"/>
      <x:c r="I14" s="1"/>
      <x:c r="J14" s="27"/>
      <x:c r="K14" s="28"/>
      <x:c r="L14" s="1"/>
      <x:c r="M14" s="1"/>
      <x:c r="N14" s="1"/>
      <x:c r="O14" s="1"/>
      <x:c r="P14" s="1"/>
    </x:row>
    <x:row r="15" ht="16.5">
      <x:c r="A15" s="171" t="n">
        <x:v>46211</x:v>
      </x:c>
      <x:c r="B15" s="52" t="str">
        <x:f t="shared" si="0">IF(SUM(C15:G15)=0,"",SUM(C15:G15))</x:f>
      </x:c>
      <x:c r="C15" s="99"/>
      <x:c r="D15" s="100"/>
      <x:c r="E15" s="100"/>
      <x:c r="F15" s="53" t="str">
        <x:f>IF('RETAIL &amp; PRINT'!K18="","",'RETAIL &amp; PRINT'!K18)</x:f>
      </x:c>
      <x:c r="G15" s="53" t="str">
        <x:f t="shared" si="1">IF(F15="","",F15*10%)</x:f>
      </x:c>
      <x:c r="H15" s="1"/>
      <x:c r="I15" s="1"/>
      <x:c r="J15" s="1"/>
      <x:c r="K15" s="1"/>
      <x:c r="L15" s="1"/>
      <x:c r="M15" s="1"/>
      <x:c r="N15" s="1"/>
      <x:c r="O15" s="1"/>
      <x:c r="P15" s="1"/>
    </x:row>
    <x:row r="16" ht="16.5">
      <x:c r="A16" s="171" t="n">
        <x:v>46212</x:v>
      </x:c>
      <x:c r="B16" s="52" t="str">
        <x:f t="shared" si="0">IF(SUM(C16:G16)=0,"",SUM(C16:G16))</x:f>
      </x:c>
      <x:c r="C16" s="99"/>
      <x:c r="D16" s="100"/>
      <x:c r="E16" s="100"/>
      <x:c r="F16" s="53" t="str">
        <x:f>IF('RETAIL &amp; PRINT'!K19="","",'RETAIL &amp; PRINT'!K19)</x:f>
      </x:c>
      <x:c r="G16" s="53" t="str">
        <x:f t="shared" si="1">IF(F16="","",F16*10%)</x:f>
      </x:c>
      <x:c r="H16" s="1"/>
      <x:c r="I16" s="1"/>
      <x:c r="J16" s="1"/>
      <x:c r="K16" s="1"/>
      <x:c r="L16" s="1"/>
      <x:c r="M16" s="1"/>
      <x:c r="N16" s="1"/>
      <x:c r="O16" s="1"/>
      <x:c r="P16" s="1"/>
    </x:row>
    <x:row r="17" ht="16.5">
      <x:c r="A17" s="171" t="n">
        <x:v>46213</x:v>
      </x:c>
      <x:c r="B17" s="52" t="str">
        <x:f t="shared" si="0">IF(SUM(C17:G17)=0,"",SUM(C17:G17))</x:f>
      </x:c>
      <x:c r="C17" s="99"/>
      <x:c r="D17" s="100"/>
      <x:c r="E17" s="100"/>
      <x:c r="F17" s="53" t="str">
        <x:f>IF('RETAIL &amp; PRINT'!K20="","",'RETAIL &amp; PRINT'!K20)</x:f>
      </x:c>
      <x:c r="G17" s="53" t="str">
        <x:f t="shared" si="1">IF(F17="","",F17*10%)</x:f>
      </x:c>
      <x:c r="H17" s="1"/>
      <x:c r="I17" s="1"/>
      <x:c r="J17" s="1"/>
      <x:c r="K17" s="1"/>
      <x:c r="L17" s="1"/>
      <x:c r="M17" s="1"/>
      <x:c r="N17" s="1"/>
      <x:c r="O17" s="1"/>
      <x:c r="P17" s="1"/>
    </x:row>
    <x:row r="18" ht="16.5">
      <x:c r="A18" s="171" t="n">
        <x:v>46214</x:v>
      </x:c>
      <x:c r="B18" s="52" t="str">
        <x:f t="shared" si="0">IF(SUM(C18:G18)=0,"",SUM(C18:G18))</x:f>
      </x:c>
      <x:c r="C18" s="99"/>
      <x:c r="D18" s="100"/>
      <x:c r="E18" s="100"/>
      <x:c r="F18" s="53" t="str">
        <x:f>IF('RETAIL &amp; PRINT'!K21="","",'RETAIL &amp; PRINT'!K21)</x:f>
      </x:c>
      <x:c r="G18" s="53" t="str">
        <x:f t="shared" si="1">IF(F18="","",F18*10%)</x:f>
      </x:c>
      <x:c r="H18" s="1"/>
      <x:c r="I18" s="1"/>
      <x:c r="J18" s="1"/>
      <x:c r="K18" s="1"/>
      <x:c r="L18" s="1"/>
      <x:c r="M18" s="1"/>
      <x:c r="N18" s="1"/>
      <x:c r="O18" s="1"/>
      <x:c r="P18" s="1"/>
    </x:row>
    <x:row r="19" ht="16.5">
      <x:c r="A19" s="171" t="n">
        <x:v>46215</x:v>
      </x:c>
      <x:c r="B19" s="52" t="str">
        <x:f t="shared" si="0">IF(SUM(C19:G19)=0,"",SUM(C19:G19))</x:f>
      </x:c>
      <x:c r="C19" s="99"/>
      <x:c r="D19" s="100"/>
      <x:c r="E19" s="100"/>
      <x:c r="F19" s="53" t="str">
        <x:f>IF('RETAIL &amp; PRINT'!K22="","",'RETAIL &amp; PRINT'!K22)</x:f>
      </x:c>
      <x:c r="G19" s="53" t="str">
        <x:f t="shared" si="1">IF(F19="","",F19*10%)</x:f>
      </x:c>
      <x:c r="H19" s="1"/>
      <x:c r="I19" s="1"/>
      <x:c r="J19" s="1"/>
      <x:c r="K19" s="1"/>
      <x:c r="L19" s="1"/>
      <x:c r="M19" s="1"/>
      <x:c r="N19" s="1"/>
      <x:c r="O19" s="1"/>
      <x:c r="P19" s="1"/>
    </x:row>
    <x:row r="20" ht="16.5">
      <x:c r="A20" s="171" t="n">
        <x:v>46216</x:v>
      </x:c>
      <x:c r="B20" s="52" t="str">
        <x:f t="shared" si="0">IF(SUM(C20:G20)=0,"",SUM(C20:G20))</x:f>
      </x:c>
      <x:c r="C20" s="99"/>
      <x:c r="D20" s="100"/>
      <x:c r="E20" s="100"/>
      <x:c r="F20" s="53" t="str">
        <x:f>IF('RETAIL &amp; PRINT'!K23="","",'RETAIL &amp; PRINT'!K23)</x:f>
      </x:c>
      <x:c r="G20" s="53" t="str">
        <x:f t="shared" si="1">IF(F20="","",F20*10%)</x:f>
      </x:c>
      <x:c r="H20" s="1"/>
      <x:c r="I20" s="1"/>
      <x:c r="J20" s="1"/>
      <x:c r="K20" s="1"/>
      <x:c r="L20" s="1"/>
      <x:c r="M20" s="1"/>
      <x:c r="N20" s="1"/>
      <x:c r="O20" s="1"/>
      <x:c r="P20" s="1"/>
    </x:row>
    <x:row r="21" ht="16.5">
      <x:c r="A21" s="171" t="n">
        <x:v>46217</x:v>
      </x:c>
      <x:c r="B21" s="52" t="str">
        <x:f t="shared" si="0">IF(SUM(C21:G21)=0,"",SUM(C21:G21))</x:f>
      </x:c>
      <x:c r="C21" s="99"/>
      <x:c r="D21" s="100"/>
      <x:c r="E21" s="100"/>
      <x:c r="F21" s="53" t="str">
        <x:f>IF('RETAIL &amp; PRINT'!K24="","",'RETAIL &amp; PRINT'!K24)</x:f>
      </x:c>
      <x:c r="G21" s="53" t="str">
        <x:f t="shared" si="1">IF(F21="","",F21*10%)</x:f>
      </x:c>
      <x:c r="H21" s="1"/>
      <x:c r="I21" s="1"/>
      <x:c r="J21" s="1"/>
      <x:c r="K21" s="1"/>
      <x:c r="L21" s="1"/>
      <x:c r="M21" s="1"/>
      <x:c r="N21" s="1"/>
      <x:c r="O21" s="1"/>
      <x:c r="P21" s="1"/>
    </x:row>
    <x:row r="22" ht="16.5">
      <x:c r="A22" s="171" t="n">
        <x:v>46218</x:v>
      </x:c>
      <x:c r="B22" s="52" t="str">
        <x:f t="shared" si="0">IF(SUM(C22:G22)=0,"",SUM(C22:G22))</x:f>
      </x:c>
      <x:c r="C22" s="99"/>
      <x:c r="D22" s="100"/>
      <x:c r="E22" s="100"/>
      <x:c r="F22" s="53" t="str">
        <x:f>IF('RETAIL &amp; PRINT'!K25="","",'RETAIL &amp; PRINT'!K25)</x:f>
      </x:c>
      <x:c r="G22" s="53" t="str">
        <x:f t="shared" si="1">IF(F22="","",F22*10%)</x:f>
      </x:c>
      <x:c r="H22" s="1"/>
      <x:c r="I22" s="1"/>
      <x:c r="J22" s="1"/>
      <x:c r="K22" s="1"/>
      <x:c r="L22" s="1"/>
      <x:c r="M22" s="1"/>
      <x:c r="N22" s="1"/>
      <x:c r="O22" s="1"/>
      <x:c r="P22" s="1"/>
    </x:row>
    <x:row r="23" ht="16.5">
      <x:c r="A23" s="171" t="n">
        <x:v>46219</x:v>
      </x:c>
      <x:c r="B23" s="52" t="str">
        <x:f t="shared" si="0">IF(SUM(C23:G23)=0,"",SUM(C23:G23))</x:f>
      </x:c>
      <x:c r="C23" s="99"/>
      <x:c r="D23" s="100"/>
      <x:c r="E23" s="100"/>
      <x:c r="F23" s="53" t="str">
        <x:f>IF('RETAIL &amp; PRINT'!K26="","",'RETAIL &amp; PRINT'!K26)</x:f>
      </x:c>
      <x:c r="G23" s="53" t="str">
        <x:f t="shared" si="1">IF(F23="","",F23*10%)</x:f>
      </x:c>
      <x:c r="H23" s="1"/>
      <x:c r="I23" s="1"/>
      <x:c r="J23" s="1"/>
      <x:c r="K23" s="1"/>
      <x:c r="L23" s="1"/>
      <x:c r="M23" s="1"/>
      <x:c r="N23" s="1"/>
      <x:c r="O23" s="1"/>
      <x:c r="P23" s="1"/>
    </x:row>
    <x:row r="24" ht="16.5">
      <x:c r="A24" s="171" t="n">
        <x:v>46220</x:v>
      </x:c>
      <x:c r="B24" s="52" t="str">
        <x:f t="shared" si="0">IF(SUM(C24:G24)=0,"",SUM(C24:G24))</x:f>
      </x:c>
      <x:c r="C24" s="99"/>
      <x:c r="D24" s="100"/>
      <x:c r="E24" s="100"/>
      <x:c r="F24" s="53" t="str">
        <x:f>IF('RETAIL &amp; PRINT'!K27="","",'RETAIL &amp; PRINT'!K27)</x:f>
      </x:c>
      <x:c r="G24" s="53" t="str">
        <x:f t="shared" si="1">IF(F24="","",F24*10%)</x:f>
      </x:c>
      <x:c r="H24" s="1"/>
      <x:c r="I24" s="1"/>
      <x:c r="J24" s="1"/>
      <x:c r="K24" s="1"/>
      <x:c r="L24" s="1"/>
      <x:c r="M24" s="1"/>
      <x:c r="N24" s="1"/>
      <x:c r="O24" s="1"/>
      <x:c r="P24" s="1"/>
    </x:row>
    <x:row r="25" ht="16.5">
      <x:c r="A25" s="171" t="n">
        <x:v>46221</x:v>
      </x:c>
      <x:c r="B25" s="52" t="str">
        <x:f t="shared" si="0">IF(SUM(C25:G25)=0,"",SUM(C25:G25))</x:f>
      </x:c>
      <x:c r="C25" s="99"/>
      <x:c r="D25" s="100"/>
      <x:c r="E25" s="100"/>
      <x:c r="F25" s="53" t="str">
        <x:f>IF('RETAIL &amp; PRINT'!K28="","",'RETAIL &amp; PRINT'!K28)</x:f>
      </x:c>
      <x:c r="G25" s="53" t="str">
        <x:f t="shared" si="1">IF(F25="","",F25*10%)</x:f>
      </x:c>
      <x:c r="H25" s="1"/>
      <x:c r="I25" s="34"/>
      <x:c r="J25" s="34"/>
      <x:c r="K25" s="34"/>
      <x:c r="L25" s="1"/>
      <x:c r="M25" s="1"/>
      <x:c r="N25" s="1"/>
      <x:c r="O25" s="1"/>
      <x:c r="P25" s="1"/>
    </x:row>
    <x:row r="26" ht="16.5">
      <x:c r="A26" s="171" t="n">
        <x:v>46222</x:v>
      </x:c>
      <x:c r="B26" s="52" t="str">
        <x:f t="shared" si="0">IF(SUM(C26:G26)=0,"",SUM(C26:G26))</x:f>
      </x:c>
      <x:c r="C26" s="99"/>
      <x:c r="D26" s="100"/>
      <x:c r="E26" s="100"/>
      <x:c r="F26" s="53" t="str">
        <x:f>IF('RETAIL &amp; PRINT'!K29="","",'RETAIL &amp; PRINT'!K29)</x:f>
      </x:c>
      <x:c r="G26" s="53" t="str">
        <x:f t="shared" si="1">IF(F26="","",F26*10%)</x:f>
      </x:c>
      <x:c r="H26" s="1"/>
      <x:c r="I26" s="33"/>
      <x:c r="J26" s="33"/>
      <x:c r="K26" s="33"/>
      <x:c r="L26" s="1"/>
      <x:c r="M26" s="1"/>
      <x:c r="N26" s="1"/>
      <x:c r="O26" s="1"/>
      <x:c r="P26" s="1"/>
    </x:row>
    <x:row r="27" ht="16.5">
      <x:c r="A27" s="171" t="n">
        <x:v>46223</x:v>
      </x:c>
      <x:c r="B27" s="52" t="str">
        <x:f t="shared" si="0">IF(SUM(C27:G27)=0,"",SUM(C27:G27))</x:f>
      </x:c>
      <x:c r="C27" s="99"/>
      <x:c r="D27" s="100"/>
      <x:c r="E27" s="100"/>
      <x:c r="F27" s="53" t="str">
        <x:f>IF('RETAIL &amp; PRINT'!K30="","",'RETAIL &amp; PRINT'!K30)</x:f>
      </x:c>
      <x:c r="G27" s="53" t="str">
        <x:f t="shared" si="1">IF(F27="","",F27*10%)</x:f>
      </x:c>
      <x:c r="H27" s="1"/>
      <x:c r="I27" s="34"/>
      <x:c r="J27" s="35"/>
      <x:c r="K27" s="36"/>
      <x:c r="L27" s="1"/>
      <x:c r="M27" s="1"/>
      <x:c r="N27" s="1"/>
      <x:c r="O27" s="1"/>
      <x:c r="P27" s="1"/>
    </x:row>
    <x:row r="28" ht="16.5">
      <x:c r="A28" s="171" t="n">
        <x:v>46224</x:v>
      </x:c>
      <x:c r="B28" s="52" t="str">
        <x:f t="shared" si="0">IF(SUM(C28:G28)=0,"",SUM(C28:G28))</x:f>
      </x:c>
      <x:c r="C28" s="99"/>
      <x:c r="D28" s="100"/>
      <x:c r="E28" s="100"/>
      <x:c r="F28" s="53" t="str">
        <x:f>IF('RETAIL &amp; PRINT'!K31="","",'RETAIL &amp; PRINT'!K31)</x:f>
      </x:c>
      <x:c r="G28" s="53" t="str">
        <x:f t="shared" si="1">IF(F28="","",F28*10%)</x:f>
      </x:c>
      <x:c r="H28" s="1"/>
      <x:c r="I28" s="34"/>
      <x:c r="J28" s="37"/>
      <x:c r="K28" s="36"/>
      <x:c r="L28" s="1"/>
      <x:c r="M28" s="1"/>
      <x:c r="N28" s="1"/>
      <x:c r="O28" s="1"/>
      <x:c r="P28" s="1"/>
    </x:row>
    <x:row r="29" ht="16.5">
      <x:c r="A29" s="171" t="n">
        <x:v>46225</x:v>
      </x:c>
      <x:c r="B29" s="52" t="str">
        <x:f t="shared" si="0">IF(SUM(C29:G29)=0,"",SUM(C29:G29))</x:f>
      </x:c>
      <x:c r="C29" s="99"/>
      <x:c r="D29" s="103"/>
      <x:c r="E29" s="103"/>
      <x:c r="F29" s="53" t="str">
        <x:f>IF('RETAIL &amp; PRINT'!K32="","",'RETAIL &amp; PRINT'!K32)</x:f>
      </x:c>
      <x:c r="G29" s="53" t="str">
        <x:f t="shared" si="1">IF(F29="","",F29*10%)</x:f>
      </x:c>
      <x:c r="H29" s="1"/>
      <x:c r="I29" s="1"/>
      <x:c r="J29" s="29"/>
      <x:c r="K29" s="30"/>
      <x:c r="L29" s="1"/>
      <x:c r="M29" s="1"/>
      <x:c r="N29" s="1"/>
      <x:c r="O29" s="1"/>
      <x:c r="P29" s="1"/>
    </x:row>
    <x:row r="30" ht="16.5">
      <x:c r="A30" s="171" t="n">
        <x:v>46226</x:v>
      </x:c>
      <x:c r="B30" s="52" t="str">
        <x:f t="shared" si="0">IF(SUM(C30:G30)=0,"",SUM(C30:G30))</x:f>
      </x:c>
      <x:c r="C30" s="99"/>
      <x:c r="D30" s="100"/>
      <x:c r="E30" s="100"/>
      <x:c r="F30" s="53" t="str">
        <x:f>IF('RETAIL &amp; PRINT'!K33="","",'RETAIL &amp; PRINT'!K33)</x:f>
      </x:c>
      <x:c r="G30" s="53" t="str">
        <x:f t="shared" si="1">IF(F30="","",F30*10%)</x:f>
      </x:c>
      <x:c r="H30" s="1"/>
      <x:c r="I30" s="1"/>
      <x:c r="J30" s="31"/>
      <x:c r="K30" s="30"/>
      <x:c r="L30" s="1"/>
      <x:c r="M30" s="1"/>
      <x:c r="N30" s="1"/>
      <x:c r="O30" s="1"/>
      <x:c r="P30" s="1"/>
    </x:row>
    <x:row r="31" ht="16.5">
      <x:c r="A31" s="171" t="n">
        <x:v>46227</x:v>
      </x:c>
      <x:c r="B31" s="52" t="str">
        <x:f t="shared" si="0">IF(SUM(C31:G31)=0,"",SUM(C31:G31))</x:f>
      </x:c>
      <x:c r="C31" s="99"/>
      <x:c r="D31" s="100"/>
      <x:c r="E31" s="100"/>
      <x:c r="F31" s="53" t="str">
        <x:f>IF('RETAIL &amp; PRINT'!K34="","",'RETAIL &amp; PRINT'!K34)</x:f>
      </x:c>
      <x:c r="G31" s="53" t="str">
        <x:f t="shared" si="1">IF(F31="","",F31*10%)</x:f>
      </x:c>
      <x:c r="I31" s="1"/>
      <x:c r="J31" s="29"/>
      <x:c r="K31" s="30"/>
      <x:c r="L31" s="1"/>
      <x:c r="M31" s="1"/>
      <x:c r="N31" s="1"/>
      <x:c r="O31" s="1"/>
      <x:c r="P31" s="1"/>
    </x:row>
    <x:row r="32" ht="16.5">
      <x:c r="A32" s="171" t="n">
        <x:v>46228</x:v>
      </x:c>
      <x:c r="B32" s="52" t="str">
        <x:f t="shared" si="0">IF(SUM(C32:G32)=0,"",SUM(C32:G32))</x:f>
      </x:c>
      <x:c r="C32" s="99"/>
      <x:c r="D32" s="100"/>
      <x:c r="E32" s="100"/>
      <x:c r="F32" s="53" t="str">
        <x:f>IF('RETAIL &amp; PRINT'!K35="","",'RETAIL &amp; PRINT'!K35)</x:f>
      </x:c>
      <x:c r="G32" s="53" t="str">
        <x:f t="shared" si="1">IF(F32="","",F32*10%)</x:f>
      </x:c>
      <x:c r="H32" s="1"/>
      <x:c r="I32" s="1"/>
      <x:c r="J32" s="31"/>
      <x:c r="K32" s="30"/>
      <x:c r="L32" s="1"/>
      <x:c r="M32" s="1"/>
      <x:c r="N32" s="1"/>
      <x:c r="O32" s="1"/>
      <x:c r="P32" s="1"/>
    </x:row>
    <x:row r="33" ht="16.5">
      <x:c r="A33" s="171" t="n">
        <x:v>46229</x:v>
      </x:c>
      <x:c r="B33" s="52" t="str">
        <x:f t="shared" si="0">IF(SUM(C33:G33)=0,"",SUM(C33:G33))</x:f>
      </x:c>
      <x:c r="C33" s="99"/>
      <x:c r="D33" s="100"/>
      <x:c r="E33" s="100"/>
      <x:c r="F33" s="53" t="str">
        <x:f>IF('RETAIL &amp; PRINT'!K36="","",'RETAIL &amp; PRINT'!K36)</x:f>
      </x:c>
      <x:c r="G33" s="53" t="str">
        <x:f t="shared" si="1">IF(F33="","",F33*10%)</x:f>
      </x:c>
      <x:c r="H33" s="1"/>
      <x:c r="I33" s="1"/>
      <x:c r="J33" s="32"/>
      <x:c r="K33" s="30"/>
      <x:c r="L33" s="1"/>
      <x:c r="M33" s="1"/>
      <x:c r="N33" s="1"/>
      <x:c r="O33" s="1"/>
      <x:c r="P33" s="1"/>
    </x:row>
    <x:row r="34" ht="16.5">
      <x:c r="A34" s="171" t="n">
        <x:v>46230</x:v>
      </x:c>
      <x:c r="B34" s="52" t="str">
        <x:f t="shared" si="0">IF(SUM(C34:G34)=0,"",SUM(C34:G34))</x:f>
      </x:c>
      <x:c r="C34" s="99"/>
      <x:c r="D34" s="100"/>
      <x:c r="E34" s="100"/>
      <x:c r="F34" s="53" t="str">
        <x:f>IF('RETAIL &amp; PRINT'!K37="","",'RETAIL &amp; PRINT'!K37)</x:f>
      </x:c>
      <x:c r="G34" s="53" t="str">
        <x:f t="shared" si="1">IF(F34="","",F34*10%)</x:f>
      </x:c>
      <x:c r="H34" s="1"/>
      <x:c r="I34" s="1"/>
      <x:c r="J34" s="1"/>
      <x:c r="K34" s="1"/>
      <x:c r="L34" s="1"/>
      <x:c r="M34" s="1"/>
      <x:c r="N34" s="1"/>
      <x:c r="O34" s="1"/>
      <x:c r="P34" s="1"/>
    </x:row>
    <x:row r="35" ht="16.5">
      <x:c r="A35" s="171" t="n">
        <x:v>46231</x:v>
      </x:c>
      <x:c r="B35" s="52" t="str">
        <x:f t="shared" si="0">IF(SUM(C35:G35)=0,"",SUM(C35:G35))</x:f>
      </x:c>
      <x:c r="C35" s="99"/>
      <x:c r="D35" s="100"/>
      <x:c r="E35" s="100"/>
      <x:c r="F35" s="53" t="str">
        <x:f>IF('RETAIL &amp; PRINT'!K38="","",'RETAIL &amp; PRINT'!K38)</x:f>
      </x:c>
      <x:c r="G35" s="53" t="str">
        <x:f t="shared" si="1">IF(F35="","",F35*10%)</x:f>
      </x:c>
      <x:c r="H35" s="1"/>
      <x:c r="I35" s="1"/>
      <x:c r="J35" s="1"/>
      <x:c r="K35" s="1"/>
      <x:c r="L35" s="1"/>
      <x:c r="M35" s="1"/>
      <x:c r="N35" s="1"/>
      <x:c r="O35" s="1"/>
      <x:c r="P35" s="1"/>
    </x:row>
    <x:row r="36" ht="16.5">
      <x:c r="A36" s="171" t="n">
        <x:v>46232</x:v>
      </x:c>
      <x:c r="B36" s="52" t="str">
        <x:f t="shared" si="0">IF(SUM(C36:G36)=0,"",SUM(C36:G36))</x:f>
      </x:c>
      <x:c r="C36" s="99"/>
      <x:c r="D36" s="100"/>
      <x:c r="E36" s="100"/>
      <x:c r="F36" s="53" t="str">
        <x:f>IF('RETAIL &amp; PRINT'!K39="","",'RETAIL &amp; PRINT'!K39)</x:f>
      </x:c>
      <x:c r="G36" s="53" t="str">
        <x:f t="shared" si="1">IF(F36="","",F36*10%)</x:f>
      </x:c>
      <x:c r="H36" s="1"/>
      <x:c r="I36" s="1"/>
      <x:c r="J36" s="1"/>
      <x:c r="K36" s="1"/>
      <x:c r="L36" s="1"/>
      <x:c r="M36" s="1"/>
      <x:c r="N36" s="1"/>
      <x:c r="O36" s="1"/>
      <x:c r="P36" s="1"/>
    </x:row>
    <x:row r="37" ht="16.5">
      <x:c r="A37" s="171" t="n">
        <x:v>46233</x:v>
      </x:c>
      <x:c r="B37" s="52" t="str">
        <x:f t="shared" si="0">IF(SUM(C37:G37)=0,"",SUM(C37:G37))</x:f>
      </x:c>
      <x:c r="C37" s="53"/>
      <x:c r="D37" s="54"/>
      <x:c r="E37" s="54"/>
      <x:c r="F37" s="53" t="str">
        <x:f>IF('RETAIL &amp; PRINT'!K40="","",'RETAIL &amp; PRINT'!K40)</x:f>
      </x:c>
      <x:c r="G37" s="53" t="str">
        <x:f t="shared" si="1">IF(F37="","",F37*10%)</x:f>
      </x:c>
      <x:c r="H37" s="1"/>
      <x:c r="I37" s="1"/>
      <x:c r="J37" s="1"/>
      <x:c r="K37" s="1"/>
      <x:c r="L37" s="1"/>
      <x:c r="M37" s="1"/>
      <x:c r="N37" s="1"/>
      <x:c r="O37" s="1"/>
      <x:c r="P37" s="1"/>
    </x:row>
    <x:row r="38" ht="16.5">
      <x:c r="A38" s="171" t="n">
        <x:v>46234</x:v>
      </x:c>
      <x:c r="B38" s="52" t="str">
        <x:f t="shared" si="0">IF(SUM(C38:G38)=0,"",SUM(C38:G38))</x:f>
      </x:c>
      <x:c r="C38" s="53"/>
      <x:c r="D38" s="54"/>
      <x:c r="E38" s="54"/>
      <x:c r="F38" s="53" t="str">
        <x:f>IF('RETAIL &amp; PRINT'!K41="","",'RETAIL &amp; PRINT'!K41)</x:f>
      </x:c>
      <x:c r="G38" s="53" t="str">
        <x:f t="shared" si="1">IF(F38="","",F38*10%)</x:f>
      </x:c>
      <x:c r="H38" s="1"/>
      <x:c r="I38" s="1"/>
      <x:c r="J38" s="1"/>
      <x:c r="K38" s="1"/>
      <x:c r="L38" s="1"/>
      <x:c r="M38" s="1"/>
      <x:c r="N38" s="1"/>
      <x:c r="O38" s="1"/>
      <x:c r="P38" s="1"/>
    </x:row>
    <x:row r="39" ht="16.5">
      <x:c r="A39" s="51"/>
      <x:c r="B39" s="75" t="str">
        <x:f t="shared" ref="B39:G39" si="2">IF(SUM(B8:B38)=0,"",SUM(B8:B38))</x:f>
      </x:c>
      <x:c r="C39" s="75" t="str">
        <x:f t="shared" si="2">IF(SUM(C8:C38)=0,"",SUM(C8:C38))</x:f>
      </x:c>
      <x:c r="D39" s="75" t="str">
        <x:f t="shared" si="2">IF(SUM(D8:D38)=0,"",SUM(D8:D38))</x:f>
      </x:c>
      <x:c r="E39" s="75" t="str">
        <x:f t="shared" si="2">IF(SUM(E8:E38)=0,"",SUM(E8:E38))</x:f>
      </x:c>
      <x:c r="F39" s="75" t="str">
        <x:f t="shared" si="2">IF(SUM(F8:F38)=0,"",SUM(F8:F38))</x:f>
      </x:c>
      <x:c r="G39" s="75" t="str">
        <x:f t="shared" si="2">IF(SUM(G8:G38)=0,"",SUM(G8:G38))</x:f>
      </x:c>
      <x:c r="H39" s="1"/>
      <x:c r="I39" s="1"/>
      <x:c r="J39" s="1"/>
      <x:c r="K39" s="1"/>
      <x:c r="L39" s="1"/>
      <x:c r="M39" s="1"/>
      <x:c r="N39" s="1"/>
      <x:c r="O39" s="1"/>
      <x:c r="P39" s="1"/>
    </x:row>
    <x:row r="40" ht="16.5">
      <x:c r="A40" s="51"/>
      <x:c r="B40" s="66" t="str">
        <x:f>IF(B39="","",B39)</x:f>
      </x:c>
      <x:c r="C40" s="67" t="str">
        <x:f>IF(C39="","",C39)</x:f>
      </x:c>
      <x:c r="D40" s="107" t="str">
        <x:f>IF(SUM(D39:E39)=0,"",SUM(D39:E39))</x:f>
      </x:c>
      <x:c r="E40" s="108"/>
      <x:c r="F40" s="142" t="str">
        <x:f>IF(SUM(F39:G39)=0,"",SUM(F39:G39))</x:f>
      </x:c>
      <x:c r="G40" s="143"/>
      <x:c r="H40" s="1"/>
      <x:c r="I40" s="1"/>
      <x:c r="J40" s="1"/>
      <x:c r="K40" s="1"/>
      <x:c r="L40" s="1"/>
      <x:c r="M40" s="1"/>
      <x:c r="N40" s="1"/>
      <x:c r="O40" s="1"/>
      <x:c r="P40" s="1"/>
    </x:row>
    <x:row r="41" ht="16.5">
      <x:c r="B41" s="11"/>
      <x:c r="C41" s="1"/>
      <x:c r="D41" s="19"/>
      <x:c r="E41" s="19"/>
      <x:c r="F41" s="12"/>
      <x:c r="G41" s="13"/>
      <x:c r="H41" s="1"/>
      <x:c r="I41" s="1"/>
      <x:c r="J41" s="1"/>
      <x:c r="K41" s="1"/>
      <x:c r="L41" s="1"/>
      <x:c r="M41" s="1"/>
      <x:c r="N41" s="1"/>
      <x:c r="O41" s="1"/>
      <x:c r="P41" s="1"/>
    </x:row>
    <x:row r="42" ht="16.5">
      <x:c r="B42" s="11"/>
      <x:c r="C42" s="1"/>
      <x:c r="D42" s="19"/>
      <x:c r="E42" s="19"/>
      <x:c r="F42" s="12"/>
      <x:c r="G42" s="25"/>
      <x:c r="H42" s="1"/>
      <x:c r="I42" s="1"/>
      <x:c r="J42" s="1"/>
      <x:c r="K42" s="1"/>
      <x:c r="L42" s="1"/>
      <x:c r="M42" s="1"/>
      <x:c r="N42" s="1"/>
      <x:c r="O42" s="1"/>
      <x:c r="P42" s="1"/>
    </x:row>
    <x:row r="43" ht="16.5">
      <x:c r="B43" s="11"/>
      <x:c r="C43" s="27"/>
      <x:c r="D43" s="19"/>
      <x:c r="E43" s="19"/>
      <x:c r="F43" s="12"/>
      <x:c r="G43" s="13"/>
      <x:c r="H43" s="1"/>
      <x:c r="I43" s="1"/>
      <x:c r="J43" s="1"/>
      <x:c r="K43" s="1"/>
      <x:c r="L43" s="1"/>
      <x:c r="M43" s="1"/>
      <x:c r="N43" s="1"/>
      <x:c r="O43" s="1"/>
      <x:c r="P43" s="1"/>
    </x:row>
    <x:row r="44" ht="16.5">
      <x:c r="B44" s="11"/>
      <x:c r="C44" s="27"/>
      <x:c r="D44" s="19"/>
      <x:c r="E44" s="19"/>
      <x:c r="F44" s="12"/>
      <x:c r="G44" s="13"/>
      <x:c r="H44" s="1"/>
      <x:c r="I44" s="1"/>
      <x:c r="J44" s="1"/>
      <x:c r="K44" s="1"/>
      <x:c r="L44" s="1"/>
      <x:c r="M44" s="1"/>
      <x:c r="N44" s="1"/>
      <x:c r="O44" s="1"/>
      <x:c r="P44" s="1"/>
    </x:row>
    <x:row r="45" ht="16.5">
      <x:c r="B45" s="11"/>
      <x:c r="C45" s="27"/>
      <x:c r="D45" s="19"/>
      <x:c r="E45" s="19"/>
      <x:c r="F45" s="12"/>
      <x:c r="G45" s="13"/>
      <x:c r="H45" s="1"/>
      <x:c r="I45" s="1"/>
      <x:c r="J45" s="1"/>
      <x:c r="K45" s="1"/>
      <x:c r="L45" s="1"/>
      <x:c r="M45" s="1"/>
      <x:c r="N45" s="1"/>
      <x:c r="O45" s="1"/>
      <x:c r="P45" s="1"/>
    </x:row>
    <x:row r="46" ht="16.5">
      <x:c r="B46" s="11"/>
      <x:c r="C46" s="1"/>
      <x:c r="D46" s="19"/>
      <x:c r="E46" s="19"/>
      <x:c r="F46" s="12"/>
      <x:c r="G46" s="13"/>
      <x:c r="H46" s="1"/>
      <x:c r="I46" s="1"/>
      <x:c r="J46" s="1"/>
      <x:c r="K46" s="1"/>
      <x:c r="L46" s="1"/>
      <x:c r="M46" s="1"/>
      <x:c r="N46" s="1"/>
      <x:c r="O46" s="1"/>
      <x:c r="P46" s="1"/>
    </x:row>
    <x:row r="47" ht="16.5">
      <x:c r="B47" s="11"/>
      <x:c r="C47" s="1"/>
      <x:c r="D47" s="19"/>
      <x:c r="E47" s="19"/>
      <x:c r="F47" s="12"/>
      <x:c r="G47" s="13"/>
      <x:c r="H47" s="1"/>
      <x:c r="I47" s="1"/>
      <x:c r="J47" s="1"/>
      <x:c r="K47" s="1"/>
      <x:c r="L47" s="1"/>
      <x:c r="M47" s="1"/>
      <x:c r="N47" s="1"/>
      <x:c r="O47" s="1"/>
      <x:c r="P47" s="1"/>
    </x:row>
    <x:row r="48" ht="16.5">
      <x:c r="B48" s="11"/>
      <x:c r="C48" s="1"/>
      <x:c r="D48" s="19"/>
      <x:c r="E48" s="19"/>
      <x:c r="F48" s="12"/>
      <x:c r="G48" s="13"/>
      <x:c r="H48" s="1"/>
      <x:c r="I48" s="1"/>
      <x:c r="J48" s="1"/>
      <x:c r="K48" s="1"/>
      <x:c r="L48" s="1"/>
      <x:c r="M48" s="1"/>
      <x:c r="N48" s="1"/>
      <x:c r="O48" s="1"/>
      <x:c r="P48" s="1"/>
    </x:row>
    <x:row r="49" ht="16.5">
      <x:c r="B49" s="11"/>
      <x:c r="C49" s="1"/>
      <x:c r="D49" s="19"/>
      <x:c r="E49" s="19"/>
      <x:c r="F49" s="12"/>
      <x:c r="G49" s="13"/>
      <x:c r="H49" s="1"/>
      <x:c r="I49" s="1"/>
      <x:c r="J49" s="1"/>
      <x:c r="K49" s="1"/>
      <x:c r="L49" s="1"/>
      <x:c r="M49" s="1"/>
      <x:c r="N49" s="1"/>
      <x:c r="O49" s="1"/>
      <x:c r="P49" s="1"/>
    </x:row>
    <x:row r="50" ht="16.5">
      <x:c r="A50"/>
      <x:c r="B50" s="11"/>
      <x:c r="C50" s="1"/>
      <x:c r="D50" s="19"/>
      <x:c r="E50" s="19"/>
      <x:c r="F50" s="12"/>
      <x:c r="G50" s="13"/>
      <x:c r="H50" s="1"/>
      <x:c r="I50" s="1"/>
      <x:c r="J50" s="1"/>
      <x:c r="K50" s="1"/>
      <x:c r="L50" s="1"/>
      <x:c r="M50" s="1"/>
      <x:c r="N50" s="1"/>
      <x:c r="O50" s="1"/>
      <x:c r="P50" s="1"/>
    </x:row>
    <x:row r="51" ht="16.5">
      <x:c r="A51"/>
      <x:c r="B51" s="11"/>
      <x:c r="C51" s="1"/>
      <x:c r="D51" s="19"/>
      <x:c r="E51" s="19"/>
      <x:c r="F51" s="12"/>
      <x:c r="G51" s="13"/>
      <x:c r="H51" s="1"/>
      <x:c r="I51" s="1"/>
      <x:c r="J51" s="1"/>
      <x:c r="K51" s="1"/>
      <x:c r="L51" s="1"/>
      <x:c r="M51" s="1"/>
      <x:c r="N51" s="1"/>
      <x:c r="O51" s="1"/>
      <x:c r="P51" s="1"/>
    </x:row>
    <x:row r="52" ht="16.5">
      <x:c r="A52"/>
      <x:c r="B52" s="11"/>
      <x:c r="C52" s="1"/>
      <x:c r="D52" s="19"/>
      <x:c r="E52" s="19"/>
      <x:c r="F52" s="12"/>
      <x:c r="G52" s="13"/>
      <x:c r="H52" s="1"/>
      <x:c r="I52" s="1"/>
      <x:c r="J52" s="1"/>
      <x:c r="K52" s="1"/>
      <x:c r="L52" s="1"/>
      <x:c r="M52" s="1"/>
      <x:c r="N52" s="1"/>
      <x:c r="O52" s="1"/>
      <x:c r="P52" s="1"/>
    </x:row>
    <x:row r="53" ht="16.5">
      <x:c r="A53"/>
      <x:c r="B53" s="11"/>
      <x:c r="C53" s="1"/>
      <x:c r="D53" s="19"/>
      <x:c r="E53" s="19"/>
      <x:c r="F53" s="12"/>
      <x:c r="G53" s="13"/>
      <x:c r="H53" s="1"/>
      <x:c r="I53" s="1"/>
      <x:c r="J53" s="1"/>
      <x:c r="K53" s="1"/>
      <x:c r="L53" s="1"/>
      <x:c r="M53" s="1"/>
      <x:c r="N53" s="1"/>
      <x:c r="O53" s="1"/>
      <x:c r="P53" s="1"/>
    </x:row>
    <x:row r="54" ht="16.5">
      <x:c r="A54"/>
      <x:c r="B54" s="11"/>
      <x:c r="C54" s="1"/>
      <x:c r="D54" s="19"/>
      <x:c r="E54" s="19"/>
      <x:c r="F54" s="12"/>
      <x:c r="G54" s="13"/>
      <x:c r="H54" s="1"/>
      <x:c r="I54" s="1"/>
      <x:c r="J54" s="1"/>
      <x:c r="K54" s="1"/>
      <x:c r="L54" s="1"/>
      <x:c r="M54" s="1"/>
      <x:c r="N54" s="1"/>
      <x:c r="O54" s="1"/>
      <x:c r="P54" s="1"/>
    </x:row>
    <x:row r="55" ht="16.5">
      <x:c r="A55"/>
      <x:c r="B55" s="11"/>
      <x:c r="C55" s="1"/>
      <x:c r="D55" s="19"/>
      <x:c r="E55" s="19"/>
      <x:c r="F55" s="12"/>
      <x:c r="G55" s="13"/>
      <x:c r="H55" s="1"/>
      <x:c r="I55" s="1"/>
      <x:c r="J55" s="1"/>
      <x:c r="K55" s="1"/>
      <x:c r="L55" s="1"/>
      <x:c r="M55" s="1"/>
      <x:c r="N55" s="1"/>
      <x:c r="O55" s="1"/>
      <x:c r="P55" s="1"/>
    </x:row>
    <x:row r="56" ht="16.5">
      <x:c r="A56"/>
      <x:c r="B56" s="11"/>
      <x:c r="C56" s="1"/>
      <x:c r="D56" s="19"/>
      <x:c r="E56" s="19"/>
      <x:c r="F56" s="12"/>
      <x:c r="G56" s="13"/>
      <x:c r="H56" s="1"/>
      <x:c r="I56" s="1"/>
      <x:c r="J56" s="1"/>
      <x:c r="K56" s="1"/>
      <x:c r="L56" s="1"/>
      <x:c r="M56" s="1"/>
      <x:c r="N56" s="1"/>
      <x:c r="O56" s="1"/>
      <x:c r="P56" s="1"/>
    </x:row>
    <x:row r="57" ht="16.5">
      <x:c r="A57"/>
      <x:c r="B57" s="11"/>
      <x:c r="C57" s="1"/>
      <x:c r="D57" s="19"/>
      <x:c r="E57" s="19"/>
      <x:c r="F57" s="12"/>
      <x:c r="G57" s="13"/>
      <x:c r="H57" s="1"/>
      <x:c r="I57" s="1"/>
      <x:c r="J57" s="1"/>
      <x:c r="K57" s="1"/>
      <x:c r="L57" s="1"/>
      <x:c r="M57" s="1"/>
      <x:c r="N57" s="1"/>
      <x:c r="O57" s="1"/>
      <x:c r="P57" s="1"/>
    </x:row>
    <x:row r="58" ht="16.5">
      <x:c r="A58"/>
      <x:c r="B58" s="11"/>
      <x:c r="C58" s="1"/>
      <x:c r="D58" s="19"/>
      <x:c r="E58" s="19"/>
      <x:c r="F58" s="12"/>
      <x:c r="G58" s="13"/>
      <x:c r="H58" s="1"/>
      <x:c r="I58" s="1"/>
      <x:c r="J58" s="1"/>
      <x:c r="K58" s="1"/>
      <x:c r="L58" s="1"/>
      <x:c r="M58" s="1"/>
      <x:c r="N58" s="1"/>
      <x:c r="O58" s="1"/>
      <x:c r="P58" s="1"/>
    </x:row>
    <x:row r="59" ht="16.5">
      <x:c r="A59"/>
      <x:c r="B59" s="11"/>
      <x:c r="C59" s="1"/>
      <x:c r="D59" s="19"/>
      <x:c r="E59" s="19"/>
      <x:c r="F59" s="12"/>
      <x:c r="G59" s="13"/>
      <x:c r="H59" s="1"/>
      <x:c r="I59" s="1"/>
      <x:c r="J59" s="1"/>
      <x:c r="K59" s="1"/>
      <x:c r="L59" s="1"/>
      <x:c r="M59" s="1"/>
      <x:c r="N59" s="1"/>
      <x:c r="O59" s="1"/>
      <x:c r="P59" s="1"/>
    </x:row>
    <x:row r="60" ht="16.5">
      <x:c r="A60"/>
      <x:c r="B60" s="11"/>
      <x:c r="C60" s="1"/>
      <x:c r="D60" s="19"/>
      <x:c r="E60" s="19"/>
      <x:c r="F60" s="12"/>
      <x:c r="G60" s="13"/>
      <x:c r="H60" s="1"/>
      <x:c r="I60" s="1"/>
      <x:c r="J60" s="1"/>
      <x:c r="K60" s="1"/>
      <x:c r="L60" s="1"/>
      <x:c r="M60" s="1"/>
      <x:c r="N60" s="1"/>
      <x:c r="O60" s="1"/>
      <x:c r="P60" s="1"/>
    </x:row>
    <x:row r="61" ht="16.5">
      <x:c r="A61"/>
      <x:c r="B61" s="11"/>
      <x:c r="C61" s="1"/>
      <x:c r="D61" s="19"/>
      <x:c r="E61" s="19"/>
      <x:c r="F61" s="12"/>
      <x:c r="G61" s="13"/>
      <x:c r="H61" s="1"/>
      <x:c r="I61" s="1"/>
      <x:c r="J61" s="1"/>
      <x:c r="K61" s="1"/>
      <x:c r="L61" s="1"/>
      <x:c r="M61" s="1"/>
      <x:c r="N61" s="1"/>
      <x:c r="O61" s="1"/>
      <x:c r="P61" s="1"/>
    </x:row>
    <x:row r="62" ht="16.5">
      <x:c r="A62"/>
      <x:c r="B62" s="11"/>
      <x:c r="C62" s="1"/>
      <x:c r="D62" s="19"/>
      <x:c r="E62" s="19"/>
      <x:c r="F62" s="12"/>
      <x:c r="G62" s="13"/>
      <x:c r="H62" s="1"/>
      <x:c r="I62" s="1"/>
      <x:c r="J62" s="1"/>
      <x:c r="K62" s="1"/>
      <x:c r="L62" s="1"/>
      <x:c r="M62" s="1"/>
      <x:c r="N62" s="1"/>
      <x:c r="O62" s="1"/>
      <x:c r="P62" s="1"/>
    </x:row>
    <x:row r="63" ht="16.5">
      <x:c r="A63"/>
      <x:c r="B63" s="11"/>
      <x:c r="C63" s="1"/>
      <x:c r="D63" s="19"/>
      <x:c r="E63" s="19"/>
      <x:c r="F63" s="12"/>
      <x:c r="G63" s="13"/>
      <x:c r="H63" s="1"/>
      <x:c r="I63" s="1"/>
      <x:c r="J63" s="1"/>
      <x:c r="K63" s="1"/>
      <x:c r="L63" s="1"/>
      <x:c r="M63" s="1"/>
      <x:c r="N63" s="1"/>
      <x:c r="O63" s="1"/>
      <x:c r="P63" s="1"/>
    </x:row>
    <x:row r="64" ht="16.5">
      <x:c r="A64"/>
      <x:c r="B64" s="11"/>
      <x:c r="C64" s="1"/>
      <x:c r="D64" s="19"/>
      <x:c r="E64" s="19"/>
      <x:c r="F64" s="12"/>
      <x:c r="G64" s="13"/>
      <x:c r="H64" s="1"/>
      <x:c r="I64" s="1"/>
      <x:c r="J64" s="1"/>
      <x:c r="K64" s="1"/>
      <x:c r="L64" s="1"/>
      <x:c r="M64" s="1"/>
      <x:c r="N64" s="1"/>
      <x:c r="O64" s="1"/>
      <x:c r="P64" s="1"/>
    </x:row>
    <x:row r="65" ht="16.5">
      <x:c r="A65"/>
      <x:c r="B65" s="11"/>
      <x:c r="C65" s="1"/>
      <x:c r="D65" s="19"/>
      <x:c r="E65" s="19"/>
      <x:c r="F65" s="12"/>
      <x:c r="G65" s="13"/>
      <x:c r="H65" s="1"/>
      <x:c r="I65" s="1"/>
      <x:c r="J65" s="1"/>
      <x:c r="K65" s="1"/>
      <x:c r="L65" s="1"/>
      <x:c r="M65" s="1"/>
      <x:c r="N65" s="1"/>
      <x:c r="O65" s="1"/>
      <x:c r="P65" s="1"/>
    </x:row>
    <x:row r="66" ht="16.5">
      <x:c r="A66"/>
      <x:c r="B66" s="11"/>
      <x:c r="C66" s="1"/>
      <x:c r="D66" s="19"/>
      <x:c r="E66" s="19"/>
      <x:c r="F66" s="12"/>
      <x:c r="G66" s="13"/>
      <x:c r="H66" s="1"/>
      <x:c r="I66" s="1"/>
      <x:c r="J66" s="1"/>
      <x:c r="K66" s="1"/>
      <x:c r="L66" s="1"/>
      <x:c r="M66" s="1"/>
      <x:c r="N66" s="1"/>
      <x:c r="O66" s="1"/>
      <x:c r="P66" s="1"/>
    </x:row>
    <x:row r="67" ht="16.5">
      <x:c r="A67"/>
      <x:c r="B67" s="11"/>
      <x:c r="C67" s="1"/>
      <x:c r="D67" s="19"/>
      <x:c r="E67" s="19"/>
      <x:c r="F67" s="12"/>
      <x:c r="G67" s="13"/>
      <x:c r="H67" s="1"/>
      <x:c r="I67" s="1"/>
      <x:c r="J67" s="1"/>
      <x:c r="K67" s="1"/>
      <x:c r="L67" s="1"/>
      <x:c r="M67" s="1"/>
      <x:c r="N67" s="1"/>
      <x:c r="O67" s="1"/>
      <x:c r="P67" s="1"/>
    </x:row>
    <x:row r="68" ht="16.5">
      <x:c r="A68"/>
      <x:c r="B68" s="11"/>
      <x:c r="C68" s="1"/>
      <x:c r="D68" s="19"/>
      <x:c r="E68" s="19"/>
      <x:c r="F68" s="12"/>
      <x:c r="G68" s="13"/>
      <x:c r="H68" s="1"/>
      <x:c r="I68" s="1"/>
      <x:c r="J68" s="1"/>
      <x:c r="K68" s="1"/>
      <x:c r="L68" s="1"/>
      <x:c r="M68" s="1"/>
      <x:c r="N68" s="1"/>
      <x:c r="O68" s="1"/>
      <x:c r="P68" s="1"/>
    </x:row>
    <x:row r="69" ht="16.5">
      <x:c r="A69"/>
      <x:c r="B69" s="11"/>
      <x:c r="C69" s="1"/>
      <x:c r="D69" s="19"/>
      <x:c r="E69" s="19"/>
      <x:c r="F69" s="12"/>
      <x:c r="G69" s="13"/>
      <x:c r="H69" s="1"/>
      <x:c r="I69" s="1"/>
      <x:c r="J69" s="1"/>
      <x:c r="K69" s="1"/>
      <x:c r="L69" s="1"/>
      <x:c r="M69" s="1"/>
      <x:c r="N69" s="1"/>
      <x:c r="O69" s="1"/>
      <x:c r="P69" s="1"/>
    </x:row>
    <x:row r="70" ht="16.5">
      <x:c r="A70"/>
      <x:c r="B70" s="11"/>
      <x:c r="C70" s="1"/>
      <x:c r="D70" s="19"/>
      <x:c r="E70" s="19"/>
      <x:c r="F70" s="12"/>
      <x:c r="G70" s="13"/>
      <x:c r="H70" s="1"/>
      <x:c r="I70" s="1"/>
      <x:c r="J70" s="1"/>
      <x:c r="K70" s="1"/>
      <x:c r="L70" s="1"/>
      <x:c r="M70" s="1"/>
      <x:c r="N70" s="1"/>
      <x:c r="O70" s="1"/>
      <x:c r="P70" s="1"/>
    </x:row>
    <x:row r="71" ht="16.5">
      <x:c r="A71"/>
      <x:c r="B71" s="11"/>
      <x:c r="C71" s="1"/>
      <x:c r="D71" s="19"/>
      <x:c r="E71" s="19"/>
      <x:c r="F71" s="12"/>
      <x:c r="G71" s="13"/>
      <x:c r="H71" s="1"/>
      <x:c r="I71" s="1"/>
      <x:c r="J71" s="1"/>
      <x:c r="K71" s="1"/>
      <x:c r="L71" s="1"/>
      <x:c r="M71" s="1"/>
      <x:c r="N71" s="1"/>
      <x:c r="O71" s="1"/>
      <x:c r="P71" s="1"/>
    </x:row>
    <x:row r="72" ht="16.5">
      <x:c r="A72"/>
      <x:c r="B72" s="11"/>
      <x:c r="C72" s="1"/>
      <x:c r="D72" s="19"/>
      <x:c r="E72" s="19"/>
      <x:c r="F72" s="12"/>
      <x:c r="G72" s="13"/>
      <x:c r="H72" s="1"/>
      <x:c r="I72" s="1"/>
      <x:c r="J72" s="1"/>
      <x:c r="K72" s="1"/>
      <x:c r="L72" s="1"/>
      <x:c r="M72" s="1"/>
      <x:c r="N72" s="1"/>
      <x:c r="O72" s="1"/>
      <x:c r="P72" s="1"/>
    </x:row>
    <x:row r="73" ht="16.5">
      <x:c r="A73"/>
      <x:c r="B73" s="11"/>
      <x:c r="C73" s="1"/>
      <x:c r="D73" s="19"/>
      <x:c r="E73" s="19"/>
      <x:c r="F73" s="12"/>
      <x:c r="G73" s="13"/>
      <x:c r="H73" s="1"/>
      <x:c r="I73" s="1"/>
      <x:c r="J73" s="1"/>
      <x:c r="K73" s="1"/>
      <x:c r="L73" s="1"/>
      <x:c r="M73" s="1"/>
      <x:c r="N73" s="1"/>
      <x:c r="O73" s="1"/>
      <x:c r="P73" s="1"/>
    </x:row>
    <x:row r="74" ht="16.5">
      <x:c r="A74"/>
      <x:c r="B74" s="11"/>
      <x:c r="C74" s="1"/>
      <x:c r="D74" s="19"/>
      <x:c r="E74" s="19"/>
      <x:c r="F74" s="12"/>
      <x:c r="G74" s="13"/>
      <x:c r="H74" s="1"/>
      <x:c r="I74" s="1"/>
      <x:c r="J74" s="1"/>
      <x:c r="K74" s="1"/>
      <x:c r="L74" s="1"/>
      <x:c r="M74" s="1"/>
      <x:c r="N74" s="1"/>
      <x:c r="O74" s="1"/>
      <x:c r="P74" s="1"/>
    </x:row>
    <x:row r="75" ht="16.5">
      <x:c r="A75"/>
      <x:c r="B75" s="11"/>
      <x:c r="C75" s="1"/>
      <x:c r="D75" s="19"/>
      <x:c r="E75" s="19"/>
      <x:c r="F75" s="12"/>
      <x:c r="G75" s="13"/>
      <x:c r="H75" s="1"/>
      <x:c r="I75" s="1"/>
      <x:c r="J75" s="1"/>
      <x:c r="K75" s="1"/>
      <x:c r="L75" s="1"/>
      <x:c r="M75" s="1"/>
      <x:c r="N75" s="1"/>
      <x:c r="O75" s="1"/>
      <x:c r="P75" s="1"/>
    </x:row>
    <x:row r="76" ht="16.5">
      <x:c r="A76"/>
      <x:c r="B76" s="11"/>
      <x:c r="C76" s="1"/>
      <x:c r="D76" s="19"/>
      <x:c r="E76" s="19"/>
      <x:c r="F76" s="12"/>
      <x:c r="G76" s="13"/>
      <x:c r="H76" s="1"/>
      <x:c r="I76" s="1"/>
      <x:c r="J76" s="1"/>
      <x:c r="K76" s="1"/>
      <x:c r="L76" s="1"/>
      <x:c r="M76" s="1"/>
      <x:c r="N76" s="1"/>
      <x:c r="O76" s="1"/>
      <x:c r="P76" s="1"/>
    </x:row>
    <x:row r="77" ht="16.5">
      <x:c r="A77"/>
      <x:c r="B77" s="11"/>
      <x:c r="C77" s="1"/>
      <x:c r="D77" s="19"/>
      <x:c r="E77" s="19"/>
      <x:c r="F77" s="12"/>
      <x:c r="G77" s="13"/>
      <x:c r="H77" s="1"/>
      <x:c r="I77" s="1"/>
      <x:c r="J77" s="1"/>
      <x:c r="K77" s="1"/>
      <x:c r="L77" s="1"/>
      <x:c r="M77" s="1"/>
      <x:c r="N77" s="1"/>
      <x:c r="O77" s="1"/>
      <x:c r="P77" s="1"/>
    </x:row>
    <x:row r="78" ht="16.5">
      <x:c r="A78"/>
      <x:c r="B78" s="11"/>
      <x:c r="C78" s="1"/>
      <x:c r="D78" s="19"/>
      <x:c r="E78" s="19"/>
      <x:c r="F78" s="12"/>
      <x:c r="G78" s="13"/>
      <x:c r="H78" s="1"/>
      <x:c r="I78" s="1"/>
      <x:c r="J78" s="1"/>
      <x:c r="K78" s="1"/>
      <x:c r="L78" s="1"/>
      <x:c r="M78" s="1"/>
      <x:c r="N78" s="1"/>
      <x:c r="O78" s="1"/>
      <x:c r="P78" s="1"/>
    </x:row>
  </x:sheetData>
  <x:mergeCells>
    <x:mergeCell ref="D5:E5"/>
    <x:mergeCell ref="F5:G5"/>
    <x:mergeCell ref="I5:K5"/>
    <x:mergeCell ref="F40:G40"/>
  </x:mergeCells>
  <x:pageMargins left="0.7" right="0.7" top="0.75" bottom="0.75" header="0.3" footer="0.3"/>
  <x:drawing xmlns:r="http://schemas.openxmlformats.org/officeDocument/2006/relationships" r:id="R32806053853b4a67"/>
</x:worksheet>
</file>

<file path=xl/worksheets/sheet16.xml><?xml version="1.0" encoding="utf-8"?>
<x:worksheet xmlns:x="http://schemas.openxmlformats.org/spreadsheetml/2006/main">
  <x:sheetPr>
    <x:tabColor theme="9" tint="0.39998"/>
  </x:sheetPr>
  <x:sheetFormatPr defaultRowHeight="15"/>
  <x:cols>
    <x:col min="1" max="1" width="13.42578125" style="14" customWidth="1"/>
    <x:col min="2" max="2" width="16.42578125" style="6" customWidth="1"/>
    <x:col min="3" max="3" width="19" customWidth="1"/>
    <x:col min="4" max="4" width="16.85546875" style="20" customWidth="1"/>
    <x:col min="5" max="5" width="22.140625" style="20" customWidth="1"/>
    <x:col min="6" max="6" width="29.5703125" customWidth="1"/>
    <x:col min="7" max="7" width="11.42578125" customWidth="1"/>
    <x:col min="8" max="8" width="13.140625" customWidth="1"/>
  </x:cols>
  <x:sheetData>
    <x:row r="1" ht="48.75" customHeight="1"/>
    <x:row r="2" ht="18">
      <x:c r="A2" s="16" t="str">
        <x:v>DAILY SALES  - JULY 2026 (THIRD PARD)</x:v>
      </x:c>
      <x:c r="B2" s="16"/>
      <x:c r="C2" s="16"/>
      <x:c r="D2" s="18"/>
      <x:c r="F2" s="20"/>
      <x:c r="G2" s="16"/>
      <x:c r="H2" s="16"/>
      <x:c r="I2" s="16"/>
      <x:c r="J2" s="16"/>
      <x:c r="K2" s="16"/>
      <x:c r="L2" s="16"/>
      <x:c r="M2" s="16"/>
      <x:c r="N2" s="16"/>
      <x:c r="O2" s="16"/>
    </x:row>
    <x:row r="3" ht="18">
      <x:c r="B3" s="24"/>
      <x:c r="C3" s="24"/>
      <x:c r="D3" s="18"/>
      <x:c r="E3" s="18"/>
      <x:c r="F3" s="24"/>
      <x:c r="G3" s="24"/>
      <x:c r="H3" s="24"/>
      <x:c r="I3" s="24"/>
      <x:c r="J3" s="24"/>
      <x:c r="K3" s="24"/>
      <x:c r="L3" s="24"/>
      <x:c r="M3" s="24"/>
      <x:c r="N3" s="24"/>
      <x:c r="O3" s="24"/>
    </x:row>
    <x:row r="4" ht="16.5">
      <x:c r="B4" s="11"/>
      <x:c r="C4" s="1"/>
      <x:c r="D4" s="19"/>
      <x:c r="E4" s="19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16.5">
      <x:c r="A5" s="21" t="s">
        <x:v>21</x:v>
      </x:c>
      <x:c r="B5" s="22" t="s">
        <x:v>22</x:v>
      </x:c>
      <x:c r="C5" s="106" t="s">
        <x:v>31</x:v>
      </x:c>
      <x:c r="D5" s="106" t="s">
        <x:v>32</x:v>
      </x:c>
      <x:c r="E5" s="106" t="s">
        <x:v>33</x:v>
      </x:c>
      <x:c r="F5" s="2"/>
      <x:c r="G5" s="135" t="s">
        <x:v>26</x:v>
      </x:c>
      <x:c r="H5" s="135"/>
      <x:c r="I5" s="135"/>
      <x:c r="N5" s="1"/>
      <x:c r="O5" s="1"/>
    </x:row>
    <x:row r="6" ht="16.5">
      <x:c r="A6" s="21"/>
      <x:c r="B6" s="22"/>
      <x:c r="C6" s="23"/>
      <x:c r="D6" s="69"/>
      <x:c r="E6" s="69" t="s">
        <x:v>39</x:v>
      </x:c>
      <x:c r="F6" s="2"/>
      <x:c r="G6" s="17"/>
      <x:c r="H6" s="17"/>
      <x:c r="I6" s="17"/>
      <x:c r="N6" s="1"/>
      <x:c r="O6" s="1"/>
    </x:row>
    <x:row r="7" ht="16.5">
      <x:c r="A7" s="15"/>
      <x:c r="B7" s="7"/>
      <x:c r="C7" s="5"/>
      <x:c r="D7" s="70"/>
      <x:c r="E7" s="70" t="s">
        <x:v>40</x:v>
      </x:c>
      <x:c r="F7" s="2"/>
      <x:c r="G7" s="3" t="str">
        <x:f>C5</x:f>
        <x:v>Kitwe</x:v>
      </x:c>
      <x:c r="H7" s="10" t="str">
        <x:f>C5</x:f>
        <x:v>Kitwe</x:v>
      </x:c>
      <x:c r="I7" s="4" t="str">
        <x:f>IF(C39="","",C39)</x:f>
      </x:c>
      <x:c r="J7" t="str">
        <x:f>IFERROR($C$39/$B$39,"")</x:f>
      </x:c>
      <x:c r="N7" s="1"/>
      <x:c r="O7" s="1"/>
    </x:row>
    <x:row r="8" ht="16.5">
      <x:c r="A8" s="171" t="n">
        <x:v>46204</x:v>
      </x:c>
      <x:c r="B8" s="52" t="str">
        <x:f t="shared" ref="B8:B38" si="0">IF(SUM(C8:F8)=0,"",SUM(C8:F8))</x:f>
      </x:c>
      <x:c r="C8" s="53"/>
      <x:c r="D8" s="54"/>
      <x:c r="E8" s="54"/>
      <x:c r="F8" s="1"/>
      <x:c r="G8" s="3" t="str">
        <x:f>D5</x:f>
        <x:v>Eldo</x:v>
      </x:c>
      <x:c r="H8" s="10" t="str">
        <x:f>D5</x:f>
        <x:v>Eldo</x:v>
      </x:c>
      <x:c r="I8" s="4" t="str">
        <x:f>IF(D39="","",D39)</x:f>
      </x:c>
      <x:c r="J8" t="str">
        <x:f>IFERROR($D$39/$B$39,"")</x:f>
      </x:c>
      <x:c r="N8" s="1"/>
      <x:c r="O8" s="1"/>
    </x:row>
    <x:row r="9" ht="16.5">
      <x:c r="A9" s="171" t="n">
        <x:v>46205</x:v>
      </x:c>
      <x:c r="B9" s="52" t="str">
        <x:f t="shared" si="0">IF(SUM(C9:F9)=0,"",SUM(C9:F9))</x:f>
      </x:c>
      <x:c r="C9" s="53"/>
      <x:c r="D9" s="54"/>
      <x:c r="E9" s="54"/>
      <x:c r="F9" s="1"/>
      <x:c r="G9" s="3" t="str">
        <x:f>E5</x:f>
        <x:v>Clubview</x:v>
      </x:c>
      <x:c r="H9" s="10" t="n">
        <x:f>F5</x:f>
        <x:v>0</x:v>
      </x:c>
      <x:c r="I9" s="4" t="str">
        <x:f>IF(F39="","",F39)</x:f>
      </x:c>
      <x:c r="J9" t="str">
        <x:f>IFERROR($F$39/$B$39,"")</x:f>
      </x:c>
      <x:c r="N9" s="1"/>
      <x:c r="O9" s="1"/>
    </x:row>
    <x:row r="10" ht="16.5">
      <x:c r="A10" s="171" t="n">
        <x:v>46206</x:v>
      </x:c>
      <x:c r="B10" s="52" t="str">
        <x:f t="shared" si="0">IF(SUM(C10:F10)=0,"",SUM(C10:F10))</x:f>
      </x:c>
      <x:c r="C10" s="53"/>
      <x:c r="D10" s="54"/>
      <x:c r="E10" s="54"/>
      <x:c r="F10" s="1"/>
      <x:c r="G10" s="39"/>
      <x:c r="H10" s="40"/>
      <x:c r="I10" s="41" t="str">
        <x:f>IF(SUM(I7:I9)=0,"",SUM(I7:I9))</x:f>
      </x:c>
      <x:c r="J10" s="1" t="str">
        <x:f>IF(SUM(J7:J9)=0,"",SUM(J7:J9))</x:f>
      </x:c>
      <x:c r="K10" s="1"/>
      <x:c r="L10" s="1"/>
      <x:c r="M10" s="1"/>
      <x:c r="N10" s="1"/>
      <x:c r="O10" s="1"/>
    </x:row>
    <x:row r="11" ht="16.5">
      <x:c r="A11" s="171" t="n">
        <x:v>46207</x:v>
      </x:c>
      <x:c r="B11" s="52" t="str">
        <x:f t="shared" si="0">IF(SUM(C11:F11)=0,"",SUM(C11:F11))</x:f>
      </x:c>
      <x:c r="C11" s="53"/>
      <x:c r="D11" s="54"/>
      <x:c r="E11" s="54"/>
      <x:c r="F11" s="1"/>
      <x:c r="G11" s="1"/>
      <x:c r="H11" s="38"/>
      <x:c r="I11" s="30"/>
      <x:c r="J11" s="1"/>
      <x:c r="K11" s="1"/>
      <x:c r="L11" s="1"/>
      <x:c r="M11" s="1"/>
      <x:c r="N11" s="1"/>
      <x:c r="O11" s="1"/>
    </x:row>
    <x:row r="12" ht="16.5">
      <x:c r="A12" s="171" t="n">
        <x:v>46208</x:v>
      </x:c>
      <x:c r="B12" s="52" t="str">
        <x:f t="shared" si="0">IF(SUM(C12:F12)=0,"",SUM(C12:F12))</x:f>
      </x:c>
      <x:c r="C12" s="53"/>
      <x:c r="D12" s="54"/>
      <x:c r="E12" s="54"/>
      <x:c r="F12" s="1"/>
      <x:c r="G12" s="1"/>
      <x:c r="H12" s="38"/>
      <x:c r="I12" s="30"/>
      <x:c r="J12" s="1"/>
      <x:c r="K12" s="1"/>
      <x:c r="L12" s="1"/>
      <x:c r="M12" s="1"/>
      <x:c r="N12" s="1"/>
      <x:c r="O12" s="1"/>
    </x:row>
    <x:row r="13" ht="16.5">
      <x:c r="A13" s="171" t="n">
        <x:v>46209</x:v>
      </x:c>
      <x:c r="B13" s="52" t="str">
        <x:f t="shared" si="0">IF(SUM(C13:F13)=0,"",SUM(C13:F13))</x:f>
      </x:c>
      <x:c r="C13" s="53"/>
      <x:c r="D13" s="54"/>
      <x:c r="E13" s="54"/>
      <x:c r="F13" s="1"/>
      <x:c r="G13" s="1"/>
      <x:c r="H13" s="1"/>
      <x:c r="I13" s="1"/>
      <x:c r="J13" s="1"/>
      <x:c r="K13" s="1"/>
      <x:c r="L13" s="1"/>
      <x:c r="M13" s="1"/>
      <x:c r="N13" s="1"/>
      <x:c r="O13" s="1"/>
    </x:row>
    <x:row r="14" ht="16.5">
      <x:c r="A14" s="171" t="n">
        <x:v>46210</x:v>
      </x:c>
      <x:c r="B14" s="52" t="str">
        <x:f t="shared" si="0">IF(SUM(C14:F14)=0,"",SUM(C14:F14))</x:f>
      </x:c>
      <x:c r="C14" s="53"/>
      <x:c r="D14" s="54"/>
      <x:c r="E14" s="54"/>
      <x:c r="F14" s="1"/>
      <x:c r="G14" s="1"/>
      <x:c r="H14" s="27"/>
      <x:c r="I14" s="28"/>
      <x:c r="J14" s="1"/>
      <x:c r="K14" s="1"/>
      <x:c r="L14" s="1"/>
      <x:c r="M14" s="1"/>
      <x:c r="N14" s="1"/>
      <x:c r="O14" s="1"/>
    </x:row>
    <x:row r="15" ht="16.5">
      <x:c r="A15" s="171" t="n">
        <x:v>46211</x:v>
      </x:c>
      <x:c r="B15" s="52" t="str">
        <x:f t="shared" si="0">IF(SUM(C15:F15)=0,"",SUM(C15:F15))</x:f>
      </x:c>
      <x:c r="C15" s="53"/>
      <x:c r="D15" s="54"/>
      <x:c r="E15" s="54"/>
      <x:c r="F15" s="1"/>
      <x:c r="G15" s="1"/>
      <x:c r="H15" s="1"/>
      <x:c r="I15" s="1"/>
      <x:c r="J15" s="1"/>
      <x:c r="K15" s="1"/>
      <x:c r="L15" s="1"/>
      <x:c r="M15" s="1"/>
      <x:c r="N15" s="1"/>
      <x:c r="O15" s="1"/>
    </x:row>
    <x:row r="16" ht="16.5">
      <x:c r="A16" s="171" t="n">
        <x:v>46212</x:v>
      </x:c>
      <x:c r="B16" s="52" t="str">
        <x:f t="shared" si="0">IF(SUM(C16:F16)=0,"",SUM(C16:F16))</x:f>
      </x:c>
      <x:c r="C16" s="53"/>
      <x:c r="D16" s="54"/>
      <x:c r="E16" s="54"/>
      <x:c r="F16" s="1"/>
      <x:c r="G16" s="1"/>
      <x:c r="H16" s="1"/>
      <x:c r="I16" s="1"/>
      <x:c r="J16" s="1"/>
      <x:c r="K16" s="1"/>
      <x:c r="L16" s="1"/>
      <x:c r="M16" s="1"/>
      <x:c r="N16" s="1"/>
      <x:c r="O16" s="1"/>
    </x:row>
    <x:row r="17" ht="16.5">
      <x:c r="A17" s="171" t="n">
        <x:v>46213</x:v>
      </x:c>
      <x:c r="B17" s="52" t="str">
        <x:f t="shared" si="0">IF(SUM(C17:F17)=0,"",SUM(C17:F17))</x:f>
      </x:c>
      <x:c r="C17" s="53"/>
      <x:c r="D17" s="54"/>
      <x:c r="E17" s="54"/>
      <x:c r="F17" s="1"/>
      <x:c r="G17" s="1"/>
      <x:c r="H17" s="1"/>
      <x:c r="I17" s="1"/>
      <x:c r="J17" s="1"/>
      <x:c r="K17" s="1"/>
      <x:c r="L17" s="1"/>
      <x:c r="M17" s="1"/>
      <x:c r="N17" s="1"/>
      <x:c r="O17" s="1"/>
    </x:row>
    <x:row r="18" ht="16.5">
      <x:c r="A18" s="171" t="n">
        <x:v>46214</x:v>
      </x:c>
      <x:c r="B18" s="52" t="str">
        <x:f t="shared" si="0">IF(SUM(C18:F18)=0,"",SUM(C18:F18))</x:f>
      </x:c>
      <x:c r="C18" s="53"/>
      <x:c r="D18" s="54"/>
      <x:c r="E18" s="54"/>
      <x:c r="F18" s="1"/>
      <x:c r="G18" s="1"/>
      <x:c r="H18" s="1"/>
      <x:c r="I18" s="1"/>
      <x:c r="J18" s="1"/>
      <x:c r="K18" s="1"/>
      <x:c r="L18" s="1"/>
      <x:c r="M18" s="1"/>
      <x:c r="N18" s="1"/>
      <x:c r="O18" s="1"/>
    </x:row>
    <x:row r="19" ht="16.5">
      <x:c r="A19" s="171" t="n">
        <x:v>46215</x:v>
      </x:c>
      <x:c r="B19" s="52" t="str">
        <x:f t="shared" si="0">IF(SUM(C19:F19)=0,"",SUM(C19:F19))</x:f>
      </x:c>
      <x:c r="C19" s="53"/>
      <x:c r="D19" s="54"/>
      <x:c r="E19" s="54"/>
      <x:c r="F19" s="1"/>
      <x:c r="G19" s="1"/>
      <x:c r="H19" s="1"/>
      <x:c r="I19" s="1"/>
      <x:c r="J19" s="1"/>
      <x:c r="K19" s="1"/>
      <x:c r="L19" s="1"/>
      <x:c r="M19" s="1"/>
      <x:c r="N19" s="1"/>
      <x:c r="O19" s="1"/>
    </x:row>
    <x:row r="20" ht="16.5">
      <x:c r="A20" s="171" t="n">
        <x:v>46216</x:v>
      </x:c>
      <x:c r="B20" s="52" t="str">
        <x:f t="shared" si="0">IF(SUM(C20:F20)=0,"",SUM(C20:F20))</x:f>
      </x:c>
      <x:c r="C20" s="53"/>
      <x:c r="D20" s="54"/>
      <x:c r="E20" s="54"/>
      <x:c r="F20" s="1"/>
      <x:c r="G20" s="1"/>
      <x:c r="H20" s="1"/>
      <x:c r="I20" s="1"/>
      <x:c r="J20" s="1"/>
      <x:c r="K20" s="1"/>
      <x:c r="L20" s="1"/>
      <x:c r="M20" s="1"/>
      <x:c r="N20" s="1"/>
      <x:c r="O20" s="1"/>
    </x:row>
    <x:row r="21" ht="16.5">
      <x:c r="A21" s="171" t="n">
        <x:v>46217</x:v>
      </x:c>
      <x:c r="B21" s="52" t="str">
        <x:f t="shared" si="0">IF(SUM(C21:F21)=0,"",SUM(C21:F21))</x:f>
      </x:c>
      <x:c r="C21" s="53"/>
      <x:c r="D21" s="54"/>
      <x:c r="E21" s="54"/>
      <x:c r="F21" s="1"/>
      <x:c r="G21" s="1"/>
      <x:c r="H21" s="1"/>
      <x:c r="I21" s="1"/>
      <x:c r="J21" s="1"/>
      <x:c r="K21" s="1"/>
      <x:c r="L21" s="1"/>
      <x:c r="M21" s="1"/>
      <x:c r="N21" s="1"/>
      <x:c r="O21" s="1"/>
    </x:row>
    <x:row r="22" ht="16.5">
      <x:c r="A22" s="171" t="n">
        <x:v>46218</x:v>
      </x:c>
      <x:c r="B22" s="52" t="str">
        <x:f t="shared" si="0">IF(SUM(C22:F22)=0,"",SUM(C22:F22))</x:f>
      </x:c>
      <x:c r="C22" s="53"/>
      <x:c r="D22" s="54"/>
      <x:c r="E22" s="54"/>
      <x:c r="F22" s="1"/>
      <x:c r="G22" s="1"/>
      <x:c r="H22" s="1"/>
      <x:c r="I22" s="1"/>
      <x:c r="J22" s="1"/>
      <x:c r="K22" s="1"/>
      <x:c r="L22" s="1"/>
      <x:c r="M22" s="1"/>
      <x:c r="N22" s="1"/>
      <x:c r="O22" s="1"/>
    </x:row>
    <x:row r="23" ht="16.5">
      <x:c r="A23" s="171" t="n">
        <x:v>46219</x:v>
      </x:c>
      <x:c r="B23" s="52" t="str">
        <x:f t="shared" si="0">IF(SUM(C23:F23)=0,"",SUM(C23:F23))</x:f>
      </x:c>
      <x:c r="C23" s="53"/>
      <x:c r="D23" s="54"/>
      <x:c r="E23" s="54"/>
      <x:c r="F23" s="1"/>
      <x:c r="G23" s="1"/>
      <x:c r="H23" s="1"/>
      <x:c r="I23" s="1"/>
      <x:c r="J23" s="1"/>
      <x:c r="K23" s="1"/>
      <x:c r="L23" s="1"/>
      <x:c r="M23" s="1"/>
      <x:c r="N23" s="1"/>
      <x:c r="O23" s="1"/>
    </x:row>
    <x:row r="24" ht="16.5">
      <x:c r="A24" s="171" t="n">
        <x:v>46220</x:v>
      </x:c>
      <x:c r="B24" s="52" t="str">
        <x:f t="shared" si="0">IF(SUM(C24:F24)=0,"",SUM(C24:F24))</x:f>
      </x:c>
      <x:c r="C24" s="53"/>
      <x:c r="D24" s="54"/>
      <x:c r="E24" s="54"/>
      <x:c r="F24" s="1"/>
      <x:c r="G24" s="1"/>
      <x:c r="H24" s="1"/>
      <x:c r="I24" s="1"/>
      <x:c r="J24" s="1"/>
      <x:c r="K24" s="1"/>
      <x:c r="L24" s="1"/>
      <x:c r="M24" s="1"/>
      <x:c r="N24" s="1"/>
      <x:c r="O24" s="1"/>
    </x:row>
    <x:row r="25" ht="16.5">
      <x:c r="A25" s="171" t="n">
        <x:v>46221</x:v>
      </x:c>
      <x:c r="B25" s="52" t="str">
        <x:f t="shared" si="0">IF(SUM(C25:F25)=0,"",SUM(C25:F25))</x:f>
      </x:c>
      <x:c r="C25" s="53"/>
      <x:c r="D25" s="54"/>
      <x:c r="E25" s="54"/>
      <x:c r="F25" s="1"/>
      <x:c r="G25" s="34"/>
      <x:c r="H25" s="34"/>
      <x:c r="I25" s="34"/>
      <x:c r="J25" s="1"/>
      <x:c r="K25" s="1"/>
      <x:c r="L25" s="1"/>
      <x:c r="M25" s="1"/>
      <x:c r="N25" s="1"/>
      <x:c r="O25" s="1"/>
    </x:row>
    <x:row r="26" ht="16.5">
      <x:c r="A26" s="171" t="n">
        <x:v>46222</x:v>
      </x:c>
      <x:c r="B26" s="52" t="str">
        <x:f t="shared" si="0">IF(SUM(C26:F26)=0,"",SUM(C26:F26))</x:f>
      </x:c>
      <x:c r="C26" s="53"/>
      <x:c r="D26" s="54"/>
      <x:c r="E26" s="54"/>
      <x:c r="F26" s="1"/>
      <x:c r="G26" s="33"/>
      <x:c r="H26" s="33"/>
      <x:c r="I26" s="33"/>
      <x:c r="J26" s="1"/>
      <x:c r="K26" s="1"/>
      <x:c r="L26" s="1"/>
      <x:c r="M26" s="1"/>
      <x:c r="N26" s="1"/>
      <x:c r="O26" s="1"/>
    </x:row>
    <x:row r="27" ht="16.5">
      <x:c r="A27" s="171" t="n">
        <x:v>46223</x:v>
      </x:c>
      <x:c r="B27" s="52" t="str">
        <x:f t="shared" si="0">IF(SUM(C27:F27)=0,"",SUM(C27:F27))</x:f>
      </x:c>
      <x:c r="C27" s="53"/>
      <x:c r="D27" s="54"/>
      <x:c r="E27" s="54"/>
      <x:c r="F27" s="1"/>
      <x:c r="G27" s="34"/>
      <x:c r="H27" s="35"/>
      <x:c r="I27" s="36"/>
      <x:c r="J27" s="1"/>
      <x:c r="K27" s="1"/>
      <x:c r="L27" s="1"/>
      <x:c r="M27" s="1"/>
      <x:c r="N27" s="1"/>
      <x:c r="O27" s="1"/>
    </x:row>
    <x:row r="28" ht="16.5">
      <x:c r="A28" s="171" t="n">
        <x:v>46224</x:v>
      </x:c>
      <x:c r="B28" s="52" t="str">
        <x:f t="shared" si="0">IF(SUM(C28:F28)=0,"",SUM(C28:F28))</x:f>
      </x:c>
      <x:c r="C28" s="53"/>
      <x:c r="D28" s="54"/>
      <x:c r="E28" s="54"/>
      <x:c r="F28" s="1"/>
      <x:c r="G28" s="34"/>
      <x:c r="H28" s="37"/>
      <x:c r="I28" s="36"/>
      <x:c r="J28" s="1"/>
      <x:c r="K28" s="1"/>
      <x:c r="L28" s="1"/>
      <x:c r="M28" s="1"/>
      <x:c r="N28" s="1"/>
      <x:c r="O28" s="1"/>
    </x:row>
    <x:row r="29" ht="16.5">
      <x:c r="A29" s="171" t="n">
        <x:v>46225</x:v>
      </x:c>
      <x:c r="B29" s="52" t="str">
        <x:f t="shared" si="0">IF(SUM(C29:F29)=0,"",SUM(C29:F29))</x:f>
      </x:c>
      <x:c r="C29" s="55"/>
      <x:c r="D29" s="56"/>
      <x:c r="E29" s="56"/>
      <x:c r="F29" s="1"/>
      <x:c r="G29" s="1"/>
      <x:c r="H29" s="29"/>
      <x:c r="I29" s="30"/>
      <x:c r="J29" s="1"/>
      <x:c r="K29" s="1"/>
      <x:c r="L29" s="1"/>
      <x:c r="M29" s="1"/>
      <x:c r="N29" s="1"/>
      <x:c r="O29" s="1"/>
    </x:row>
    <x:row r="30" ht="16.5">
      <x:c r="A30" s="171" t="n">
        <x:v>46226</x:v>
      </x:c>
      <x:c r="B30" s="52" t="str">
        <x:f t="shared" si="0">IF(SUM(C30:F30)=0,"",SUM(C30:F30))</x:f>
      </x:c>
      <x:c r="C30" s="53"/>
      <x:c r="D30" s="54"/>
      <x:c r="E30" s="54"/>
      <x:c r="F30" s="1"/>
      <x:c r="G30" s="1"/>
      <x:c r="H30" s="31"/>
      <x:c r="I30" s="30"/>
      <x:c r="J30" s="1"/>
      <x:c r="K30" s="1"/>
      <x:c r="L30" s="1"/>
      <x:c r="M30" s="1"/>
      <x:c r="N30" s="1"/>
      <x:c r="O30" s="1"/>
    </x:row>
    <x:row r="31" ht="16.5">
      <x:c r="A31" s="171" t="n">
        <x:v>46227</x:v>
      </x:c>
      <x:c r="B31" s="52" t="str">
        <x:f t="shared" si="0">IF(SUM(C31:F31)=0,"",SUM(C31:F31))</x:f>
      </x:c>
      <x:c r="C31" s="53"/>
      <x:c r="D31" s="54"/>
      <x:c r="E31" s="54"/>
      <x:c r="F31" s="1"/>
      <x:c r="G31" s="1"/>
      <x:c r="H31" s="29"/>
      <x:c r="I31" s="30"/>
      <x:c r="J31" s="1"/>
      <x:c r="K31" s="1"/>
      <x:c r="L31" s="1"/>
      <x:c r="M31" s="1"/>
      <x:c r="N31" s="1"/>
      <x:c r="O31" s="1"/>
    </x:row>
    <x:row r="32" ht="16.5">
      <x:c r="A32" s="171" t="n">
        <x:v>46228</x:v>
      </x:c>
      <x:c r="B32" s="52" t="str">
        <x:f t="shared" si="0">IF(SUM(C32:F32)=0,"",SUM(C32:F32))</x:f>
      </x:c>
      <x:c r="C32" s="53"/>
      <x:c r="D32" s="54"/>
      <x:c r="E32" s="54"/>
      <x:c r="F32" s="1"/>
      <x:c r="G32" s="1"/>
      <x:c r="H32" s="31"/>
      <x:c r="I32" s="30"/>
      <x:c r="J32" s="1"/>
      <x:c r="K32" s="1"/>
      <x:c r="L32" s="1"/>
      <x:c r="M32" s="1"/>
      <x:c r="N32" s="1"/>
      <x:c r="O32" s="1"/>
    </x:row>
    <x:row r="33" ht="16.5">
      <x:c r="A33" s="171" t="n">
        <x:v>46229</x:v>
      </x:c>
      <x:c r="B33" s="52" t="str">
        <x:f t="shared" si="0">IF(SUM(C33:F33)=0,"",SUM(C33:F33))</x:f>
      </x:c>
      <x:c r="C33" s="53"/>
      <x:c r="D33" s="54"/>
      <x:c r="E33" s="54"/>
      <x:c r="F33" s="1"/>
      <x:c r="G33" s="1"/>
      <x:c r="H33" s="32"/>
      <x:c r="I33" s="30"/>
      <x:c r="J33" s="1"/>
      <x:c r="K33" s="1"/>
      <x:c r="L33" s="1"/>
      <x:c r="M33" s="1"/>
      <x:c r="N33" s="1"/>
      <x:c r="O33" s="1"/>
    </x:row>
    <x:row r="34" ht="16.5">
      <x:c r="A34" s="171" t="n">
        <x:v>46230</x:v>
      </x:c>
      <x:c r="B34" s="52" t="str">
        <x:f t="shared" si="0">IF(SUM(C34:F34)=0,"",SUM(C34:F34))</x:f>
      </x:c>
      <x:c r="C34" s="53"/>
      <x:c r="D34" s="54"/>
      <x:c r="E34" s="54"/>
      <x:c r="F34" s="1"/>
      <x:c r="G34" s="1"/>
      <x:c r="H34" s="1"/>
      <x:c r="I34" s="1"/>
      <x:c r="J34" s="1"/>
      <x:c r="K34" s="1"/>
      <x:c r="L34" s="1"/>
      <x:c r="M34" s="1"/>
      <x:c r="N34" s="1"/>
      <x:c r="O34" s="1"/>
    </x:row>
    <x:row r="35" ht="16.5">
      <x:c r="A35" s="171" t="n">
        <x:v>46231</x:v>
      </x:c>
      <x:c r="B35" s="52" t="str">
        <x:f t="shared" si="0">IF(SUM(C35:F35)=0,"",SUM(C35:F35))</x:f>
      </x:c>
      <x:c r="C35" s="53"/>
      <x:c r="D35" s="54"/>
      <x:c r="E35" s="54"/>
      <x:c r="F35" s="1"/>
      <x:c r="G35" s="1"/>
      <x:c r="H35" s="1"/>
      <x:c r="I35" s="1"/>
      <x:c r="J35" s="1"/>
      <x:c r="K35" s="1"/>
      <x:c r="L35" s="1"/>
      <x:c r="M35" s="1"/>
      <x:c r="N35" s="1"/>
      <x:c r="O35" s="1"/>
    </x:row>
    <x:row r="36" ht="16.5">
      <x:c r="A36" s="171" t="n">
        <x:v>46232</x:v>
      </x:c>
      <x:c r="B36" s="52" t="str">
        <x:f t="shared" si="0">IF(SUM(C36:F36)=0,"",SUM(C36:F36))</x:f>
      </x:c>
      <x:c r="C36" s="53"/>
      <x:c r="D36" s="54"/>
      <x:c r="E36" s="54"/>
      <x:c r="F36" s="1"/>
      <x:c r="G36" s="1"/>
      <x:c r="H36" s="1"/>
      <x:c r="I36" s="1"/>
      <x:c r="J36" s="1"/>
      <x:c r="K36" s="1"/>
      <x:c r="L36" s="1"/>
      <x:c r="M36" s="1"/>
      <x:c r="N36" s="1"/>
      <x:c r="O36" s="1"/>
    </x:row>
    <x:row r="37" ht="16.5">
      <x:c r="A37" s="171" t="n">
        <x:v>46233</x:v>
      </x:c>
      <x:c r="B37" s="52" t="str">
        <x:f t="shared" si="0">IF(SUM(C37:F37)=0,"",SUM(C37:F37))</x:f>
      </x:c>
      <x:c r="C37" s="53"/>
      <x:c r="D37" s="54"/>
      <x:c r="E37" s="54"/>
      <x:c r="F37" s="1"/>
      <x:c r="G37" s="1"/>
      <x:c r="H37" s="1"/>
      <x:c r="I37" s="1"/>
      <x:c r="J37" s="1"/>
      <x:c r="K37" s="1"/>
      <x:c r="L37" s="1"/>
      <x:c r="M37" s="1"/>
      <x:c r="N37" s="1"/>
      <x:c r="O37" s="1"/>
    </x:row>
    <x:row r="38" ht="16.5">
      <x:c r="A38" s="171" t="n">
        <x:v>46234</x:v>
      </x:c>
      <x:c r="B38" s="52" t="str">
        <x:f t="shared" si="0">IF(SUM(C38:F38)=0,"",SUM(C38:F38))</x:f>
      </x:c>
      <x:c r="C38" s="53"/>
      <x:c r="D38" s="54"/>
      <x:c r="E38" s="54"/>
      <x:c r="F38" s="1"/>
      <x:c r="G38" s="1"/>
      <x:c r="H38" s="1"/>
      <x:c r="I38" s="1"/>
      <x:c r="J38" s="1"/>
      <x:c r="K38" s="1"/>
      <x:c r="L38" s="1"/>
      <x:c r="M38" s="1"/>
      <x:c r="N38" s="1"/>
      <x:c r="O38" s="1"/>
    </x:row>
    <x:row r="39" ht="16.5">
      <x:c r="A39" s="51"/>
      <x:c r="B39" s="57" t="str">
        <x:f>IF(SUM(B8:B38)=0,"",SUM(B8:B38))</x:f>
      </x:c>
      <x:c r="C39" s="58" t="str">
        <x:f>IF(SUM(C8:C38)=0,"",SUM(C8:C38))</x:f>
      </x:c>
      <x:c r="D39" s="59" t="str">
        <x:f>IF(SUM(D8:D38)=0,"",SUM(D8:D38))</x:f>
      </x:c>
      <x:c r="E39" s="59" t="str">
        <x:f>IF(SUM(E8:E38)=0,"",SUM(E8:E38))</x:f>
      </x:c>
      <x:c r="F39" s="1" t="str">
        <x:f>IF(SUM(F8:F38)=0,"",SUM(F8:F38))</x:f>
      </x:c>
      <x:c r="G39" s="1"/>
      <x:c r="H39" s="1"/>
      <x:c r="I39" s="1"/>
      <x:c r="J39" s="1"/>
      <x:c r="K39" s="1"/>
      <x:c r="L39" s="1"/>
      <x:c r="M39" s="1"/>
      <x:c r="N39" s="1"/>
      <x:c r="O39" s="1"/>
    </x:row>
    <x:row r="40" ht="16.5">
      <x:c r="B40" s="11"/>
      <x:c r="C40" s="1"/>
      <x:c r="D40" s="19"/>
      <x:c r="E40" s="19"/>
      <x:c r="F40" s="1"/>
      <x:c r="G40" s="1"/>
      <x:c r="H40" s="1"/>
      <x:c r="I40" s="1"/>
      <x:c r="J40" s="1"/>
      <x:c r="K40" s="1"/>
      <x:c r="L40" s="1"/>
      <x:c r="M40" s="1"/>
      <x:c r="N40" s="1"/>
      <x:c r="O40" s="1"/>
    </x:row>
    <x:row r="41" ht="16.5">
      <x:c r="B41" s="11"/>
      <x:c r="C41" s="1"/>
      <x:c r="D41" s="19"/>
      <x:c r="E41" s="19"/>
      <x:c r="F41" s="1"/>
      <x:c r="G41" s="1"/>
      <x:c r="H41" s="1"/>
      <x:c r="I41" s="1"/>
      <x:c r="J41" s="1"/>
      <x:c r="K41" s="1"/>
      <x:c r="L41" s="1"/>
      <x:c r="M41" s="1"/>
      <x:c r="N41" s="1"/>
      <x:c r="O41" s="1"/>
    </x:row>
    <x:row r="42" ht="16.5">
      <x:c r="B42" s="11"/>
      <x:c r="C42" s="27"/>
      <x:c r="D42" s="19"/>
      <x:c r="E42" s="19"/>
      <x:c r="F42" s="1"/>
      <x:c r="G42" s="1"/>
      <x:c r="H42" s="1"/>
      <x:c r="I42" s="1"/>
      <x:c r="J42" s="1"/>
      <x:c r="K42" s="1"/>
      <x:c r="L42" s="1"/>
      <x:c r="M42" s="1"/>
      <x:c r="N42" s="1"/>
      <x:c r="O42" s="1"/>
    </x:row>
    <x:row r="43" ht="16.5">
      <x:c r="B43" s="11"/>
      <x:c r="C43" s="27"/>
      <x:c r="D43" s="19"/>
      <x:c r="E43" s="19"/>
      <x:c r="F43" s="1"/>
      <x:c r="G43" s="1"/>
      <x:c r="H43" s="1"/>
      <x:c r="I43" s="1"/>
      <x:c r="J43" s="1"/>
      <x:c r="K43" s="1"/>
      <x:c r="L43" s="1"/>
      <x:c r="M43" s="1"/>
      <x:c r="N43" s="1"/>
      <x:c r="O43" s="1"/>
    </x:row>
    <x:row r="44" ht="16.5">
      <x:c r="B44" s="11"/>
      <x:c r="C44" s="27"/>
      <x:c r="D44" s="19"/>
      <x:c r="E44" s="19"/>
      <x:c r="F44" s="1"/>
      <x:c r="G44" s="1"/>
      <x:c r="H44" s="1"/>
      <x:c r="I44" s="1"/>
      <x:c r="J44" s="1"/>
      <x:c r="K44" s="1"/>
      <x:c r="L44" s="1"/>
      <x:c r="M44" s="1"/>
      <x:c r="N44" s="1"/>
      <x:c r="O44" s="1"/>
    </x:row>
    <x:row r="45" ht="16.5">
      <x:c r="B45" s="11"/>
      <x:c r="C45" s="1"/>
      <x:c r="D45" s="19"/>
      <x:c r="E45" s="19"/>
      <x:c r="F45" s="1"/>
      <x:c r="G45" s="1"/>
      <x:c r="H45" s="1"/>
      <x:c r="I45" s="1"/>
      <x:c r="J45" s="1"/>
      <x:c r="K45" s="1"/>
      <x:c r="L45" s="1"/>
      <x:c r="M45" s="1"/>
      <x:c r="N45" s="1"/>
      <x:c r="O45" s="1"/>
    </x:row>
    <x:row r="46" ht="16.5">
      <x:c r="B46" s="11"/>
      <x:c r="C46" s="1"/>
      <x:c r="D46" s="19"/>
      <x:c r="E46" s="19"/>
      <x:c r="F46" s="1"/>
      <x:c r="G46" s="1"/>
      <x:c r="H46" s="1"/>
      <x:c r="I46" s="1"/>
      <x:c r="J46" s="1"/>
      <x:c r="K46" s="1"/>
      <x:c r="L46" s="1"/>
      <x:c r="M46" s="1"/>
      <x:c r="N46" s="1"/>
      <x:c r="O46" s="1"/>
    </x:row>
    <x:row r="47" ht="16.5">
      <x:c r="B47" s="11"/>
      <x:c r="C47" s="1"/>
      <x:c r="D47" s="19"/>
      <x:c r="E47" s="19"/>
      <x:c r="F47" s="1"/>
      <x:c r="G47" s="1"/>
      <x:c r="H47" s="1"/>
      <x:c r="I47" s="1"/>
      <x:c r="J47" s="1"/>
      <x:c r="K47" s="1"/>
      <x:c r="L47" s="1"/>
      <x:c r="M47" s="1"/>
      <x:c r="N47" s="1"/>
      <x:c r="O47" s="1"/>
    </x:row>
    <x:row r="48" ht="16.5">
      <x:c r="B48" s="11"/>
      <x:c r="C48" s="1"/>
      <x:c r="D48" s="19"/>
      <x:c r="E48" s="19"/>
      <x:c r="F48" s="1"/>
      <x:c r="G48" s="1"/>
      <x:c r="H48" s="1"/>
      <x:c r="I48" s="1"/>
      <x:c r="J48" s="1"/>
      <x:c r="K48" s="1"/>
      <x:c r="L48" s="1"/>
      <x:c r="M48" s="1"/>
      <x:c r="N48" s="1"/>
      <x:c r="O48" s="1"/>
    </x:row>
    <x:row r="49" ht="16.5">
      <x:c r="A49"/>
      <x:c r="B49" s="11"/>
      <x:c r="C49" s="1"/>
      <x:c r="D49" s="19"/>
      <x:c r="E49" s="19"/>
      <x:c r="F49" s="1"/>
      <x:c r="G49" s="1"/>
      <x:c r="H49" s="1"/>
      <x:c r="I49" s="1"/>
      <x:c r="J49" s="1"/>
      <x:c r="K49" s="1"/>
      <x:c r="L49" s="1"/>
      <x:c r="M49" s="1"/>
      <x:c r="N49" s="1"/>
      <x:c r="O49" s="1"/>
    </x:row>
    <x:row r="50" ht="16.5">
      <x:c r="A50"/>
      <x:c r="B50" s="11"/>
      <x:c r="C50" s="1"/>
      <x:c r="D50" s="19"/>
      <x:c r="E50" s="19"/>
      <x:c r="F50" s="1"/>
      <x:c r="G50" s="1"/>
      <x:c r="H50" s="1"/>
      <x:c r="I50" s="1"/>
      <x:c r="J50" s="1"/>
      <x:c r="K50" s="1"/>
      <x:c r="L50" s="1"/>
      <x:c r="M50" s="1"/>
      <x:c r="N50" s="1"/>
      <x:c r="O50" s="1"/>
    </x:row>
    <x:row r="51" ht="16.5">
      <x:c r="A51"/>
      <x:c r="B51" s="11"/>
      <x:c r="C51" s="1"/>
      <x:c r="D51" s="19"/>
      <x:c r="E51" s="19"/>
      <x:c r="F51" s="1"/>
      <x:c r="G51" s="1"/>
      <x:c r="H51" s="1"/>
      <x:c r="I51" s="1"/>
      <x:c r="J51" s="1"/>
      <x:c r="K51" s="1"/>
      <x:c r="L51" s="1"/>
      <x:c r="M51" s="1"/>
      <x:c r="N51" s="1"/>
      <x:c r="O51" s="1"/>
    </x:row>
    <x:row r="52" ht="16.5">
      <x:c r="A52"/>
      <x:c r="B52" s="11"/>
      <x:c r="C52" s="1"/>
      <x:c r="D52" s="19"/>
      <x:c r="E52" s="19"/>
      <x:c r="F52" s="1"/>
      <x:c r="G52" s="1"/>
      <x:c r="H52" s="1"/>
      <x:c r="I52" s="1"/>
      <x:c r="J52" s="1"/>
      <x:c r="K52" s="1"/>
      <x:c r="L52" s="1"/>
      <x:c r="M52" s="1"/>
      <x:c r="N52" s="1"/>
      <x:c r="O52" s="1"/>
    </x:row>
    <x:row r="53" ht="16.5">
      <x:c r="A53"/>
      <x:c r="B53" s="11"/>
      <x:c r="C53" s="1"/>
      <x:c r="D53" s="19"/>
      <x:c r="E53" s="19"/>
      <x:c r="F53" s="1"/>
      <x:c r="G53" s="1"/>
      <x:c r="H53" s="1"/>
      <x:c r="I53" s="1"/>
      <x:c r="J53" s="1"/>
      <x:c r="K53" s="1"/>
      <x:c r="L53" s="1"/>
      <x:c r="M53" s="1"/>
      <x:c r="N53" s="1"/>
      <x:c r="O53" s="1"/>
    </x:row>
    <x:row r="54" ht="16.5">
      <x:c r="A54"/>
      <x:c r="B54" s="11"/>
      <x:c r="C54" s="1"/>
      <x:c r="D54" s="19"/>
      <x:c r="E54" s="19"/>
      <x:c r="F54" s="1"/>
      <x:c r="G54" s="1"/>
      <x:c r="H54" s="1"/>
      <x:c r="I54" s="1"/>
      <x:c r="J54" s="1"/>
      <x:c r="K54" s="1"/>
      <x:c r="L54" s="1"/>
      <x:c r="M54" s="1"/>
      <x:c r="N54" s="1"/>
      <x:c r="O54" s="1"/>
    </x:row>
    <x:row r="55" ht="16.5">
      <x:c r="A55"/>
      <x:c r="B55" s="11"/>
      <x:c r="C55" s="1"/>
      <x:c r="D55" s="19"/>
      <x:c r="E55" s="19"/>
      <x:c r="F55" s="1"/>
      <x:c r="G55" s="1"/>
      <x:c r="H55" s="1"/>
      <x:c r="I55" s="1"/>
      <x:c r="J55" s="1"/>
      <x:c r="K55" s="1"/>
      <x:c r="L55" s="1"/>
      <x:c r="M55" s="1"/>
      <x:c r="N55" s="1"/>
      <x:c r="O55" s="1"/>
    </x:row>
    <x:row r="56" ht="16.5">
      <x:c r="A56"/>
      <x:c r="B56" s="11"/>
      <x:c r="C56" s="1"/>
      <x:c r="D56" s="19"/>
      <x:c r="E56" s="19"/>
      <x:c r="F56" s="1"/>
      <x:c r="G56" s="1"/>
      <x:c r="H56" s="1"/>
      <x:c r="I56" s="1"/>
      <x:c r="J56" s="1"/>
      <x:c r="K56" s="1"/>
      <x:c r="L56" s="1"/>
      <x:c r="M56" s="1"/>
      <x:c r="N56" s="1"/>
      <x:c r="O56" s="1"/>
    </x:row>
    <x:row r="57" ht="16.5">
      <x:c r="A57"/>
      <x:c r="B57" s="11"/>
      <x:c r="C57" s="1"/>
      <x:c r="D57" s="19"/>
      <x:c r="E57" s="19"/>
      <x:c r="F57" s="1"/>
      <x:c r="G57" s="1"/>
      <x:c r="H57" s="1"/>
      <x:c r="I57" s="1"/>
      <x:c r="J57" s="1"/>
      <x:c r="K57" s="1"/>
      <x:c r="L57" s="1"/>
      <x:c r="M57" s="1"/>
      <x:c r="N57" s="1"/>
      <x:c r="O57" s="1"/>
    </x:row>
    <x:row r="58" ht="16.5">
      <x:c r="A58"/>
      <x:c r="B58" s="11"/>
      <x:c r="C58" s="1"/>
      <x:c r="D58" s="19"/>
      <x:c r="E58" s="19"/>
      <x:c r="F58" s="1"/>
      <x:c r="G58" s="1"/>
      <x:c r="H58" s="1"/>
      <x:c r="I58" s="1"/>
      <x:c r="J58" s="1"/>
      <x:c r="K58" s="1"/>
      <x:c r="L58" s="1"/>
      <x:c r="M58" s="1"/>
      <x:c r="N58" s="1"/>
      <x:c r="O58" s="1"/>
    </x:row>
    <x:row r="59" ht="16.5">
      <x:c r="A59"/>
      <x:c r="B59" s="11"/>
      <x:c r="C59" s="1"/>
      <x:c r="D59" s="19"/>
      <x:c r="E59" s="19"/>
      <x:c r="F59" s="1"/>
      <x:c r="G59" s="1"/>
      <x:c r="H59" s="1"/>
      <x:c r="I59" s="1"/>
      <x:c r="J59" s="1"/>
      <x:c r="K59" s="1"/>
      <x:c r="L59" s="1"/>
      <x:c r="M59" s="1"/>
      <x:c r="N59" s="1"/>
      <x:c r="O59" s="1"/>
    </x:row>
    <x:row r="60" ht="16.5">
      <x:c r="A60"/>
      <x:c r="B60" s="11"/>
      <x:c r="C60" s="1"/>
      <x:c r="D60" s="19"/>
      <x:c r="E60" s="19"/>
      <x:c r="F60" s="1"/>
      <x:c r="G60" s="1"/>
      <x:c r="H60" s="1"/>
      <x:c r="I60" s="1"/>
      <x:c r="J60" s="1"/>
      <x:c r="K60" s="1"/>
      <x:c r="L60" s="1"/>
      <x:c r="M60" s="1"/>
      <x:c r="N60" s="1"/>
      <x:c r="O60" s="1"/>
    </x:row>
    <x:row r="61" ht="16.5">
      <x:c r="A61"/>
      <x:c r="B61" s="11"/>
      <x:c r="C61" s="1"/>
      <x:c r="D61" s="19"/>
      <x:c r="E61" s="19"/>
      <x:c r="F61" s="1"/>
      <x:c r="G61" s="1"/>
      <x:c r="H61" s="1"/>
      <x:c r="I61" s="1"/>
      <x:c r="J61" s="1"/>
      <x:c r="K61" s="1"/>
      <x:c r="L61" s="1"/>
      <x:c r="M61" s="1"/>
      <x:c r="N61" s="1"/>
      <x:c r="O61" s="1"/>
    </x:row>
    <x:row r="62" ht="16.5">
      <x:c r="A62"/>
      <x:c r="B62" s="11"/>
      <x:c r="C62" s="1"/>
      <x:c r="D62" s="19"/>
      <x:c r="E62" s="19"/>
      <x:c r="F62" s="1"/>
      <x:c r="G62" s="1"/>
      <x:c r="H62" s="1"/>
      <x:c r="I62" s="1"/>
      <x:c r="J62" s="1"/>
      <x:c r="K62" s="1"/>
      <x:c r="L62" s="1"/>
      <x:c r="M62" s="1"/>
      <x:c r="N62" s="1"/>
      <x:c r="O62" s="1"/>
    </x:row>
    <x:row r="63" ht="16.5">
      <x:c r="A63"/>
      <x:c r="B63" s="11"/>
      <x:c r="C63" s="1"/>
      <x:c r="D63" s="19"/>
      <x:c r="E63" s="19"/>
      <x:c r="F63" s="1"/>
      <x:c r="G63" s="1"/>
      <x:c r="H63" s="1"/>
      <x:c r="I63" s="1"/>
      <x:c r="J63" s="1"/>
      <x:c r="K63" s="1"/>
      <x:c r="L63" s="1"/>
      <x:c r="M63" s="1"/>
      <x:c r="N63" s="1"/>
      <x:c r="O63" s="1"/>
    </x:row>
    <x:row r="64" ht="16.5">
      <x:c r="A64"/>
      <x:c r="B64" s="11"/>
      <x:c r="C64" s="1"/>
      <x:c r="D64" s="19"/>
      <x:c r="E64" s="19"/>
      <x:c r="F64" s="1"/>
      <x:c r="G64" s="1"/>
      <x:c r="H64" s="1"/>
      <x:c r="I64" s="1"/>
      <x:c r="J64" s="1"/>
      <x:c r="K64" s="1"/>
      <x:c r="L64" s="1"/>
      <x:c r="M64" s="1"/>
      <x:c r="N64" s="1"/>
      <x:c r="O64" s="1"/>
    </x:row>
    <x:row r="65" ht="16.5">
      <x:c r="A65"/>
      <x:c r="B65" s="11"/>
      <x:c r="C65" s="1"/>
      <x:c r="D65" s="19"/>
      <x:c r="E65" s="19"/>
      <x:c r="F65" s="1"/>
      <x:c r="G65" s="1"/>
      <x:c r="H65" s="1"/>
      <x:c r="I65" s="1"/>
      <x:c r="J65" s="1"/>
      <x:c r="K65" s="1"/>
      <x:c r="L65" s="1"/>
      <x:c r="M65" s="1"/>
      <x:c r="N65" s="1"/>
      <x:c r="O65" s="1"/>
    </x:row>
    <x:row r="66" ht="16.5">
      <x:c r="A66"/>
      <x:c r="B66" s="11"/>
      <x:c r="C66" s="1"/>
      <x:c r="D66" s="19"/>
      <x:c r="E66" s="19"/>
      <x:c r="F66" s="1"/>
      <x:c r="G66" s="1"/>
      <x:c r="H66" s="1"/>
      <x:c r="I66" s="1"/>
      <x:c r="J66" s="1"/>
      <x:c r="K66" s="1"/>
      <x:c r="L66" s="1"/>
      <x:c r="M66" s="1"/>
      <x:c r="N66" s="1"/>
      <x:c r="O66" s="1"/>
    </x:row>
    <x:row r="67" ht="16.5">
      <x:c r="A67"/>
      <x:c r="B67" s="11"/>
      <x:c r="C67" s="1"/>
      <x:c r="D67" s="19"/>
      <x:c r="E67" s="19"/>
      <x:c r="F67" s="1"/>
      <x:c r="G67" s="1"/>
      <x:c r="H67" s="1"/>
      <x:c r="I67" s="1"/>
      <x:c r="J67" s="1"/>
      <x:c r="K67" s="1"/>
      <x:c r="L67" s="1"/>
      <x:c r="M67" s="1"/>
      <x:c r="N67" s="1"/>
      <x:c r="O67" s="1"/>
    </x:row>
    <x:row r="68" ht="16.5">
      <x:c r="A68"/>
      <x:c r="B68" s="11"/>
      <x:c r="C68" s="1"/>
      <x:c r="D68" s="19"/>
      <x:c r="E68" s="19"/>
      <x:c r="F68" s="1"/>
      <x:c r="G68" s="1"/>
      <x:c r="H68" s="1"/>
      <x:c r="I68" s="1"/>
      <x:c r="J68" s="1"/>
      <x:c r="K68" s="1"/>
      <x:c r="L68" s="1"/>
      <x:c r="M68" s="1"/>
      <x:c r="N68" s="1"/>
      <x:c r="O68" s="1"/>
    </x:row>
    <x:row r="69" ht="16.5">
      <x:c r="A69"/>
      <x:c r="B69" s="11"/>
      <x:c r="C69" s="1"/>
      <x:c r="D69" s="19"/>
      <x:c r="E69" s="19"/>
      <x:c r="F69" s="1"/>
      <x:c r="G69" s="1"/>
      <x:c r="H69" s="1"/>
      <x:c r="I69" s="1"/>
      <x:c r="J69" s="1"/>
      <x:c r="K69" s="1"/>
      <x:c r="L69" s="1"/>
      <x:c r="M69" s="1"/>
      <x:c r="N69" s="1"/>
      <x:c r="O69" s="1"/>
    </x:row>
    <x:row r="70" ht="16.5">
      <x:c r="A70"/>
      <x:c r="B70" s="11"/>
      <x:c r="C70" s="1"/>
      <x:c r="D70" s="19"/>
      <x:c r="E70" s="19"/>
      <x:c r="F70" s="1"/>
      <x:c r="G70" s="1"/>
      <x:c r="H70" s="1"/>
      <x:c r="I70" s="1"/>
      <x:c r="J70" s="1"/>
      <x:c r="K70" s="1"/>
      <x:c r="L70" s="1"/>
      <x:c r="M70" s="1"/>
      <x:c r="N70" s="1"/>
      <x:c r="O70" s="1"/>
    </x:row>
    <x:row r="71" ht="16.5">
      <x:c r="A71"/>
      <x:c r="B71" s="11"/>
      <x:c r="C71" s="1"/>
      <x:c r="D71" s="19"/>
      <x:c r="E71" s="19"/>
      <x:c r="F71" s="1"/>
      <x:c r="G71" s="1"/>
      <x:c r="H71" s="1"/>
      <x:c r="I71" s="1"/>
      <x:c r="J71" s="1"/>
      <x:c r="K71" s="1"/>
      <x:c r="L71" s="1"/>
      <x:c r="M71" s="1"/>
      <x:c r="N71" s="1"/>
      <x:c r="O71" s="1"/>
    </x:row>
    <x:row r="72" ht="16.5">
      <x:c r="A72"/>
      <x:c r="B72" s="11"/>
      <x:c r="C72" s="1"/>
      <x:c r="D72" s="19"/>
      <x:c r="E72" s="19"/>
      <x:c r="F72" s="1"/>
      <x:c r="G72" s="1"/>
      <x:c r="H72" s="1"/>
      <x:c r="I72" s="1"/>
      <x:c r="J72" s="1"/>
      <x:c r="K72" s="1"/>
      <x:c r="L72" s="1"/>
      <x:c r="M72" s="1"/>
      <x:c r="N72" s="1"/>
      <x:c r="O72" s="1"/>
    </x:row>
    <x:row r="73" ht="16.5">
      <x:c r="A73"/>
      <x:c r="B73" s="11"/>
      <x:c r="C73" s="1"/>
      <x:c r="D73" s="19"/>
      <x:c r="E73" s="19"/>
      <x:c r="F73" s="1"/>
      <x:c r="G73" s="1"/>
      <x:c r="H73" s="1"/>
      <x:c r="I73" s="1"/>
      <x:c r="J73" s="1"/>
      <x:c r="K73" s="1"/>
      <x:c r="L73" s="1"/>
      <x:c r="M73" s="1"/>
      <x:c r="N73" s="1"/>
      <x:c r="O73" s="1"/>
    </x:row>
    <x:row r="74" ht="16.5">
      <x:c r="A74"/>
      <x:c r="B74" s="11"/>
      <x:c r="C74" s="1"/>
      <x:c r="D74" s="19"/>
      <x:c r="E74" s="19"/>
      <x:c r="F74" s="1"/>
      <x:c r="G74" s="1"/>
      <x:c r="H74" s="1"/>
      <x:c r="I74" s="1"/>
      <x:c r="J74" s="1"/>
      <x:c r="K74" s="1"/>
      <x:c r="L74" s="1"/>
      <x:c r="M74" s="1"/>
      <x:c r="N74" s="1"/>
      <x:c r="O74" s="1"/>
    </x:row>
    <x:row r="75" ht="16.5">
      <x:c r="A75"/>
      <x:c r="B75" s="11"/>
      <x:c r="C75" s="1"/>
      <x:c r="D75" s="19"/>
      <x:c r="E75" s="19"/>
      <x:c r="F75" s="1"/>
      <x:c r="G75" s="1"/>
      <x:c r="H75" s="1"/>
      <x:c r="I75" s="1"/>
      <x:c r="J75" s="1"/>
      <x:c r="K75" s="1"/>
      <x:c r="L75" s="1"/>
      <x:c r="M75" s="1"/>
      <x:c r="N75" s="1"/>
      <x:c r="O75" s="1"/>
    </x:row>
    <x:row r="76" ht="16.5">
      <x:c r="A76"/>
      <x:c r="B76" s="11"/>
      <x:c r="C76" s="1"/>
      <x:c r="D76" s="19"/>
      <x:c r="E76" s="19"/>
      <x:c r="F76" s="1"/>
      <x:c r="G76" s="1"/>
      <x:c r="H76" s="1"/>
      <x:c r="I76" s="1"/>
      <x:c r="J76" s="1"/>
      <x:c r="K76" s="1"/>
      <x:c r="L76" s="1"/>
      <x:c r="M76" s="1"/>
      <x:c r="N76" s="1"/>
      <x:c r="O76" s="1"/>
    </x:row>
    <x:row r="77" ht="16.5">
      <x:c r="A77"/>
      <x:c r="B77" s="11"/>
      <x:c r="C77" s="1"/>
      <x:c r="D77" s="19"/>
      <x:c r="E77" s="19"/>
      <x:c r="F77" s="1"/>
      <x:c r="G77" s="1"/>
      <x:c r="H77" s="1"/>
      <x:c r="I77" s="1"/>
      <x:c r="J77" s="1"/>
      <x:c r="K77" s="1"/>
      <x:c r="L77" s="1"/>
      <x:c r="M77" s="1"/>
      <x:c r="N77" s="1"/>
      <x:c r="O77" s="1"/>
    </x:row>
  </x:sheetData>
  <x:mergeCells>
    <x:mergeCell ref="G5:I5"/>
  </x:mergeCells>
  <x:pageMargins left="0.7" right="0.7" top="0.75" bottom="0.75" header="0.3" footer="0.3"/>
  <x:drawing xmlns:r="http://schemas.openxmlformats.org/officeDocument/2006/relationships" r:id="Rceffed1e6fb2498f"/>
</x:worksheet>
</file>

<file path=xl/worksheets/sheet17.xml><?xml version="1.0" encoding="utf-8"?>
<x:worksheet xmlns:x="http://schemas.openxmlformats.org/spreadsheetml/2006/main">
  <x:sheetPr>
    <x:tabColor theme="9" tint="0.39998"/>
  </x:sheetPr>
  <x:sheetFormatPr defaultRowHeight="15"/>
  <x:cols>
    <x:col min="1" max="1" width="16.42578125" customWidth="1"/>
    <x:col min="2" max="2" width="15.140625" customWidth="1"/>
  </x:cols>
  <x:sheetData>
    <x:row r="1" ht="63.75" customHeight="1">
      <x:c r="A1" s="147" t="s">
        <x:v>34</x:v>
      </x:c>
      <x:c r="B1" s="151"/>
      <x:c r="C1" s="151"/>
      <x:c r="D1" s="151"/>
      <x:c r="E1" s="151"/>
      <x:c r="F1" s="151"/>
      <x:c r="G1" s="151"/>
      <x:c r="H1" s="151"/>
      <x:c r="I1" s="151"/>
      <x:c r="J1" s="151"/>
      <x:c r="K1" s="151"/>
      <x:c r="L1" s="151"/>
      <x:c r="M1" s="151"/>
      <x:c r="N1" s="151"/>
      <x:c r="O1" s="151"/>
      <x:c r="P1" s="151"/>
      <x:c r="Q1" s="151"/>
      <x:c r="R1" s="151"/>
      <x:c r="S1" s="151"/>
      <x:c r="T1" s="151"/>
    </x:row>
    <x:row r="2" ht="42" customHeight="1">
      <x:c r="A2"/>
      <x:c r="B2"/>
      <x:c r="C2"/>
    </x:row>
    <x:row r="3" ht="22.5" customHeight="1">
      <x:c r="A3" s="144" t="s">
        <x:v>35</x:v>
      </x:c>
      <x:c r="B3" s="145"/>
      <x:c r="C3" s="146"/>
    </x:row>
    <x:row r="4" ht="17.25">
      <x:c r="A4" s="44"/>
      <x:c r="B4" s="45"/>
      <x:c r="C4" s="46"/>
    </x:row>
    <x:row r="5" ht="17.25">
      <x:c r="A5" s="71" t="s">
        <x:v>36</x:v>
      </x:c>
      <x:c r="B5" s="72" t="str">
        <x:f>IF('SHOP JULY 2026 (5)'!B40="","",'SHOP JULY 2026 (5)'!B40)</x:f>
      </x:c>
      <x:c r="C5" s="47" t="str">
        <x:f>IFERROR(B5/B7,"")</x:f>
      </x:c>
    </x:row>
    <x:row r="6" ht="18">
      <x:c r="A6" s="73" t="s">
        <x:v>37</x:v>
      </x:c>
      <x:c r="B6" s="74" t="str">
        <x:f>IF('THIRD PARTY JULY 2026 (5)'!B39="","",'THIRD PARTY JULY 2026 (5)'!B39)</x:f>
      </x:c>
      <x:c r="C6" s="47" t="str">
        <x:f>IFERROR(B6/B7,"")</x:f>
      </x:c>
    </x:row>
    <x:row r="7" ht="16.5">
      <x:c r="A7" s="43"/>
      <x:c r="B7" s="42" t="str">
        <x:f>IF(SUM(B5:B6)=0,"",SUM(B5:B6))</x:f>
      </x:c>
      <x:c r="C7" s="48" t="str">
        <x:f>IF(SUM(C5:C6)=0,"",SUM(C5:C6))</x:f>
      </x:c>
    </x:row>
  </x:sheetData>
  <x:mergeCells>
    <x:mergeCell ref="A3:C3"/>
    <x:mergeCell ref="A1:T1"/>
  </x:mergeCells>
  <x:pageMargins left="0.7" right="0.7" top="0.75" bottom="0.75" header="0.3" footer="0.3"/>
  <x:drawing xmlns:r="http://schemas.openxmlformats.org/officeDocument/2006/relationships" r:id="R8a774456aa474ee2"/>
</x:worksheet>
</file>

<file path=xl/worksheets/sheet18.xml><?xml version="1.0" encoding="utf-8"?>
<x:worksheet xmlns:x="http://schemas.openxmlformats.org/spreadsheetml/2006/main">
  <x:sheetPr>
    <x:tabColor rgb="FF0000FF"/>
  </x:sheetPr>
  <x:sheetFormatPr defaultRowHeight="15"/>
  <x:cols>
    <x:col min="1" max="1" width="23.28515625" style="14" customWidth="1"/>
    <x:col min="2" max="2" width="15.5703125" style="6" customWidth="1"/>
    <x:col min="3" max="3" width="19" customWidth="1"/>
    <x:col min="4" max="4" width="15.42578125" style="20" customWidth="1"/>
    <x:col min="5" max="5" width="20.5703125" style="20" customWidth="1"/>
    <x:col min="6" max="6" width="13.85546875" style="8" customWidth="1"/>
    <x:col min="7" max="7" width="13.85546875" style="9" customWidth="1"/>
    <x:col min="9" max="9" width="17" customWidth="1"/>
    <x:col min="10" max="10" width="13.140625" customWidth="1"/>
    <x:col min="11" max="11" width="9.140625" customWidth="1"/>
  </x:cols>
  <x:sheetData>
    <x:row r="2" ht="18">
      <x:c r="A2" s="16" t="str">
        <x:v>DAILY SALES (6B)  - AUGUST 2026</x:v>
      </x:c>
      <x:c r="B2" s="16"/>
      <x:c r="C2" s="16"/>
      <x:c r="D2" s="18"/>
      <x:c r="E2" s="18"/>
      <x:c r="F2" s="16"/>
      <x:c r="G2" s="18"/>
      <x:c r="H2" s="16"/>
      <x:c r="I2" s="16"/>
      <x:c r="J2" s="16"/>
      <x:c r="K2" s="16"/>
      <x:c r="L2" s="16"/>
      <x:c r="M2" s="16"/>
      <x:c r="N2" s="16"/>
      <x:c r="O2" s="16"/>
      <x:c r="P2" s="16"/>
    </x:row>
    <x:row r="3" ht="18">
      <x:c r="B3" s="24"/>
      <x:c r="C3" s="24"/>
      <x:c r="D3" s="18"/>
      <x:c r="E3" s="18"/>
      <x:c r="F3" s="24"/>
      <x:c r="G3" s="24"/>
      <x:c r="H3" s="24"/>
      <x:c r="I3" s="24"/>
      <x:c r="J3" s="24"/>
      <x:c r="K3" s="24"/>
      <x:c r="L3" s="24"/>
      <x:c r="M3" s="24"/>
      <x:c r="N3" s="24"/>
      <x:c r="O3" s="24"/>
      <x:c r="P3" s="24"/>
    </x:row>
    <x:row r="4" ht="16.5">
      <x:c r="B4" s="11"/>
      <x:c r="C4" s="1"/>
      <x:c r="D4" s="19"/>
      <x:c r="E4" s="19"/>
      <x:c r="F4" s="12"/>
      <x:c r="G4" s="13"/>
      <x:c r="H4" s="1"/>
      <x:c r="I4" s="1"/>
      <x:c r="J4" s="1"/>
      <x:c r="K4" s="1"/>
      <x:c r="L4" s="1"/>
      <x:c r="M4" s="1"/>
      <x:c r="N4" s="1"/>
      <x:c r="O4" s="1"/>
      <x:c r="P4" s="1"/>
    </x:row>
    <x:row r="5" ht="16.5">
      <x:c r="A5" s="21" t="s">
        <x:v>21</x:v>
      </x:c>
      <x:c r="B5" s="22" t="s">
        <x:v>22</x:v>
      </x:c>
      <x:c r="C5" s="106" t="s">
        <x:v>23</x:v>
      </x:c>
      <x:c r="D5" s="139" t="s">
        <x:v>24</x:v>
      </x:c>
      <x:c r="E5" s="140"/>
      <x:c r="F5" s="139" t="s">
        <x:v>25</x:v>
      </x:c>
      <x:c r="G5" s="141"/>
      <x:c r="H5" s="2"/>
      <x:c r="I5" s="135" t="s">
        <x:v>26</x:v>
      </x:c>
      <x:c r="J5" s="135"/>
      <x:c r="K5" s="135"/>
      <x:c r="L5" s="1"/>
      <x:c r="M5" s="1"/>
      <x:c r="N5" s="1"/>
      <x:c r="O5" s="1"/>
      <x:c r="P5" s="1"/>
    </x:row>
    <x:row r="6" ht="16.5">
      <x:c r="A6" s="21"/>
      <x:c r="B6" s="22"/>
      <x:c r="C6" s="23"/>
      <x:c r="D6" s="26" t="s">
        <x:v>27</x:v>
      </x:c>
      <x:c r="E6" s="26" t="s">
        <x:v>28</x:v>
      </x:c>
      <x:c r="F6" s="26" t="s">
        <x:v>29</x:v>
      </x:c>
      <x:c r="G6" s="26" t="s">
        <x:v>30</x:v>
      </x:c>
      <x:c r="H6" s="2"/>
      <x:c r="I6" s="17"/>
      <x:c r="J6" s="17"/>
      <x:c r="K6" s="17"/>
      <x:c r="L6" s="1"/>
      <x:c r="M6" s="1"/>
      <x:c r="N6" s="1"/>
      <x:c r="O6" s="1"/>
      <x:c r="P6" s="1"/>
    </x:row>
    <x:row r="7" ht="16.5">
      <x:c r="A7" s="15"/>
      <x:c r="B7" s="7"/>
      <x:c r="C7" s="5"/>
      <x:c r="D7" s="17"/>
      <x:c r="E7" s="17"/>
      <x:c r="F7" s="17"/>
      <x:c r="G7" s="17"/>
      <x:c r="H7" s="2"/>
      <x:c r="I7" s="17"/>
      <x:c r="J7" s="17"/>
      <x:c r="K7" s="17"/>
      <x:c r="L7" s="1"/>
      <x:c r="M7" s="1"/>
      <x:c r="N7" s="1"/>
      <x:c r="O7" s="1"/>
      <x:c r="P7" s="1"/>
    </x:row>
    <x:row r="8" ht="16.5">
      <x:c r="A8" s="171" t="n">
        <x:v>46235</x:v>
      </x:c>
      <x:c r="B8" s="52" t="str">
        <x:f>IF(SUM(C8:G8)=0,"",SUM(C8:G8))</x:f>
      </x:c>
      <x:c r="C8" s="53"/>
      <x:c r="D8" s="54"/>
      <x:c r="E8" s="54"/>
      <x:c r="F8" s="53" t="str">
        <x:f>IF('RETAIL &amp; PRINT'!M11="","",'RETAIL &amp; PRINT'!M11)</x:f>
      </x:c>
      <x:c r="G8" s="53" t="str">
        <x:f>IF(F8="","",F8*10%)</x:f>
      </x:c>
      <x:c r="H8" s="1"/>
      <x:c r="I8" s="3" t="str">
        <x:f>C5</x:f>
        <x:v>Footwear</x:v>
      </x:c>
      <x:c r="J8" s="10" t="str">
        <x:f>IF(C39="","",C39)</x:f>
      </x:c>
      <x:c r="K8" s="4" t="str">
        <x:f>IFERROR(C39/B40,"")</x:f>
      </x:c>
      <x:c r="L8" s="1"/>
      <x:c r="M8" s="1"/>
      <x:c r="N8" s="1"/>
      <x:c r="O8" s="1"/>
      <x:c r="P8" s="1"/>
    </x:row>
    <x:row r="9" ht="16.5">
      <x:c r="A9" s="171" t="n">
        <x:v>46236</x:v>
      </x:c>
      <x:c r="B9" s="52" t="str">
        <x:f t="shared" ref="B9:B38" si="0">IF(SUM(C9:G9)=0,"",SUM(C9:G9))</x:f>
      </x:c>
      <x:c r="C9" s="53"/>
      <x:c r="D9" s="54"/>
      <x:c r="E9" s="54"/>
      <x:c r="F9" s="53" t="str">
        <x:f>IF('RETAIL &amp; PRINT'!M12="","",'RETAIL &amp; PRINT'!M12)</x:f>
      </x:c>
      <x:c r="G9" s="53" t="str">
        <x:f t="shared" ref="G9:G38" si="1">IF(F9="","",F9*10%)</x:f>
      </x:c>
      <x:c r="H9" s="1"/>
      <x:c r="I9" s="3" t="str">
        <x:f>D5</x:f>
        <x:v>Deep Cleaning</x:v>
      </x:c>
      <x:c r="J9" s="10" t="str">
        <x:f>IF(D40="","",D40)</x:f>
      </x:c>
      <x:c r="K9" s="4" t="str">
        <x:f>IFERROR(D40/$B$40,"")</x:f>
      </x:c>
      <x:c r="L9" s="1"/>
      <x:c r="M9" s="1"/>
      <x:c r="N9" s="1"/>
      <x:c r="O9" s="1"/>
      <x:c r="P9" s="1"/>
    </x:row>
    <x:row r="10" ht="16.5">
      <x:c r="A10" s="171" t="n">
        <x:v>46237</x:v>
      </x:c>
      <x:c r="B10" s="52" t="str">
        <x:f t="shared" si="0">IF(SUM(C10:G10)=0,"",SUM(C10:G10))</x:f>
      </x:c>
      <x:c r="C10" s="53"/>
      <x:c r="D10" s="54"/>
      <x:c r="E10" s="54"/>
      <x:c r="F10" s="53" t="str">
        <x:f>IF('RETAIL &amp; PRINT'!M13="","",'RETAIL &amp; PRINT'!M13)</x:f>
      </x:c>
      <x:c r="G10" s="53" t="str">
        <x:f t="shared" si="1">IF(F10="","",F10*10%)</x:f>
      </x:c>
      <x:c r="H10" s="1"/>
      <x:c r="I10" s="3" t="str">
        <x:f>F5</x:f>
        <x:v>Print &amp; Retail</x:v>
      </x:c>
      <x:c r="J10" s="10" t="str">
        <x:f>IF(F40="","",F40)</x:f>
      </x:c>
      <x:c r="K10" s="4" t="str">
        <x:f>IFERROR(SUM(F39:G39)/B40,"")</x:f>
      </x:c>
      <x:c r="L10" s="1"/>
      <x:c r="M10" s="1"/>
      <x:c r="N10" s="1"/>
      <x:c r="O10" s="1"/>
      <x:c r="P10" s="1"/>
    </x:row>
    <x:row r="11" ht="16.5">
      <x:c r="A11" s="171" t="n">
        <x:v>46238</x:v>
      </x:c>
      <x:c r="B11" s="52" t="str">
        <x:f t="shared" si="0">IF(SUM(C11:G11)=0,"",SUM(C11:G11))</x:f>
      </x:c>
      <x:c r="C11" s="53"/>
      <x:c r="D11" s="54"/>
      <x:c r="E11" s="54"/>
      <x:c r="F11" s="53" t="str">
        <x:f>IF('RETAIL &amp; PRINT'!M14="","",'RETAIL &amp; PRINT'!M14)</x:f>
      </x:c>
      <x:c r="G11" s="53" t="str">
        <x:f t="shared" si="1">IF(F11="","",F11*10%)</x:f>
      </x:c>
      <x:c r="H11" s="1"/>
      <x:c r="I11" s="3"/>
      <x:c r="J11" s="10"/>
      <x:c r="K11" s="4"/>
      <x:c r="L11" s="1"/>
      <x:c r="M11" s="1"/>
      <x:c r="N11" s="1"/>
      <x:c r="O11" s="1"/>
      <x:c r="P11" s="1"/>
    </x:row>
    <x:row r="12" ht="16.5">
      <x:c r="A12" s="171" t="n">
        <x:v>46239</x:v>
      </x:c>
      <x:c r="B12" s="52" t="str">
        <x:f t="shared" si="0">IF(SUM(C12:G12)=0,"",SUM(C12:G12))</x:f>
      </x:c>
      <x:c r="C12" s="53"/>
      <x:c r="D12" s="54"/>
      <x:c r="E12" s="54"/>
      <x:c r="F12" s="53" t="str">
        <x:f>IF('RETAIL &amp; PRINT'!M15="","",'RETAIL &amp; PRINT'!M15)</x:f>
      </x:c>
      <x:c r="G12" s="53" t="str">
        <x:f t="shared" si="1">IF(F12="","",F12*10%)</x:f>
      </x:c>
      <x:c r="H12" s="1"/>
      <x:c r="I12" s="3"/>
      <x:c r="J12" s="10" t="str">
        <x:f>IF(SUM(J8:J11)=0,"",SUM(J8:J11))</x:f>
      </x:c>
      <x:c r="K12" s="4" t="str">
        <x:f>IF(SUM(K8:K11)=0,"",SUM(K8:K11))</x:f>
      </x:c>
      <x:c r="L12" s="1"/>
      <x:c r="M12" s="1"/>
      <x:c r="N12" s="1"/>
      <x:c r="O12" s="1"/>
      <x:c r="P12" s="1"/>
    </x:row>
    <x:row r="13" ht="16.5">
      <x:c r="A13" s="171" t="n">
        <x:v>46240</x:v>
      </x:c>
      <x:c r="B13" s="52" t="str">
        <x:f t="shared" si="0">IF(SUM(C13:G13)=0,"",SUM(C13:G13))</x:f>
      </x:c>
      <x:c r="C13" s="99"/>
      <x:c r="D13" s="100"/>
      <x:c r="E13" s="100"/>
      <x:c r="F13" s="53" t="str">
        <x:f>IF('RETAIL &amp; PRINT'!M16="","",'RETAIL &amp; PRINT'!M16)</x:f>
      </x:c>
      <x:c r="G13" s="53" t="str">
        <x:f t="shared" si="1">IF(F13="","",F13*10%)</x:f>
      </x:c>
      <x:c r="H13" s="1"/>
      <x:c r="I13" s="1"/>
      <x:c r="J13" s="1"/>
      <x:c r="K13" s="1"/>
      <x:c r="L13" s="1"/>
      <x:c r="M13" s="1"/>
      <x:c r="N13" s="1"/>
      <x:c r="O13" s="1"/>
      <x:c r="P13" s="1"/>
    </x:row>
    <x:row r="14" ht="16.5">
      <x:c r="A14" s="171" t="n">
        <x:v>46241</x:v>
      </x:c>
      <x:c r="B14" s="52" t="str">
        <x:f t="shared" si="0">IF(SUM(C14:G14)=0,"",SUM(C14:G14))</x:f>
      </x:c>
      <x:c r="C14" s="99"/>
      <x:c r="D14" s="100"/>
      <x:c r="E14" s="100"/>
      <x:c r="F14" s="53" t="str">
        <x:f>IF('RETAIL &amp; PRINT'!M17="","",'RETAIL &amp; PRINT'!M17)</x:f>
      </x:c>
      <x:c r="G14" s="53" t="str">
        <x:f t="shared" si="1">IF(F14="","",F14*10%)</x:f>
      </x:c>
      <x:c r="H14" s="1"/>
      <x:c r="I14" s="1"/>
      <x:c r="J14" s="27"/>
      <x:c r="K14" s="28"/>
      <x:c r="L14" s="1"/>
      <x:c r="M14" s="1"/>
      <x:c r="N14" s="1"/>
      <x:c r="O14" s="1"/>
      <x:c r="P14" s="1"/>
    </x:row>
    <x:row r="15" ht="16.5">
      <x:c r="A15" s="171" t="n">
        <x:v>46242</x:v>
      </x:c>
      <x:c r="B15" s="52" t="str">
        <x:f t="shared" si="0">IF(SUM(C15:G15)=0,"",SUM(C15:G15))</x:f>
      </x:c>
      <x:c r="C15" s="99"/>
      <x:c r="D15" s="100"/>
      <x:c r="E15" s="100"/>
      <x:c r="F15" s="53" t="str">
        <x:f>IF('RETAIL &amp; PRINT'!M18="","",'RETAIL &amp; PRINT'!M18)</x:f>
      </x:c>
      <x:c r="G15" s="53" t="str">
        <x:f t="shared" si="1">IF(F15="","",F15*10%)</x:f>
      </x:c>
      <x:c r="H15" s="1"/>
      <x:c r="I15" s="1"/>
      <x:c r="J15" s="1"/>
      <x:c r="K15" s="1"/>
      <x:c r="L15" s="1"/>
      <x:c r="M15" s="1"/>
      <x:c r="N15" s="1"/>
      <x:c r="O15" s="1"/>
      <x:c r="P15" s="1"/>
    </x:row>
    <x:row r="16" ht="16.5">
      <x:c r="A16" s="171" t="n">
        <x:v>46243</x:v>
      </x:c>
      <x:c r="B16" s="52" t="str">
        <x:f t="shared" si="0">IF(SUM(C16:G16)=0,"",SUM(C16:G16))</x:f>
      </x:c>
      <x:c r="C16" s="99"/>
      <x:c r="D16" s="100"/>
      <x:c r="E16" s="100"/>
      <x:c r="F16" s="53" t="str">
        <x:f>IF('RETAIL &amp; PRINT'!M19="","",'RETAIL &amp; PRINT'!M19)</x:f>
      </x:c>
      <x:c r="G16" s="53" t="str">
        <x:f t="shared" si="1">IF(F16="","",F16*10%)</x:f>
      </x:c>
      <x:c r="H16" s="1"/>
      <x:c r="I16" s="1"/>
      <x:c r="J16" s="1"/>
      <x:c r="K16" s="1"/>
      <x:c r="L16" s="1"/>
      <x:c r="M16" s="1"/>
      <x:c r="N16" s="1"/>
      <x:c r="O16" s="1"/>
      <x:c r="P16" s="1"/>
    </x:row>
    <x:row r="17" ht="16.5">
      <x:c r="A17" s="171" t="n">
        <x:v>46244</x:v>
      </x:c>
      <x:c r="B17" s="52" t="str">
        <x:f t="shared" si="0">IF(SUM(C17:G17)=0,"",SUM(C17:G17))</x:f>
      </x:c>
      <x:c r="C17" s="99"/>
      <x:c r="D17" s="100"/>
      <x:c r="E17" s="100"/>
      <x:c r="F17" s="53" t="str">
        <x:f>IF('RETAIL &amp; PRINT'!M20="","",'RETAIL &amp; PRINT'!M20)</x:f>
      </x:c>
      <x:c r="G17" s="53" t="str">
        <x:f t="shared" si="1">IF(F17="","",F17*10%)</x:f>
      </x:c>
      <x:c r="H17" s="1"/>
      <x:c r="I17" s="1"/>
      <x:c r="J17" s="1"/>
      <x:c r="K17" s="1"/>
      <x:c r="L17" s="1"/>
      <x:c r="M17" s="1"/>
      <x:c r="N17" s="1"/>
      <x:c r="O17" s="1"/>
      <x:c r="P17" s="1"/>
    </x:row>
    <x:row r="18" ht="16.5">
      <x:c r="A18" s="171" t="n">
        <x:v>46245</x:v>
      </x:c>
      <x:c r="B18" s="52" t="str">
        <x:f t="shared" si="0">IF(SUM(C18:G18)=0,"",SUM(C18:G18))</x:f>
      </x:c>
      <x:c r="C18" s="99"/>
      <x:c r="D18" s="100"/>
      <x:c r="E18" s="100"/>
      <x:c r="F18" s="53" t="str">
        <x:f>IF('RETAIL &amp; PRINT'!M21="","",'RETAIL &amp; PRINT'!M21)</x:f>
      </x:c>
      <x:c r="G18" s="53" t="str">
        <x:f t="shared" si="1">IF(F18="","",F18*10%)</x:f>
      </x:c>
      <x:c r="H18" s="1"/>
      <x:c r="I18" s="1"/>
      <x:c r="J18" s="1"/>
      <x:c r="K18" s="1"/>
      <x:c r="L18" s="1"/>
      <x:c r="M18" s="1"/>
      <x:c r="N18" s="1"/>
      <x:c r="O18" s="1"/>
      <x:c r="P18" s="1"/>
    </x:row>
    <x:row r="19" ht="16.5">
      <x:c r="A19" s="171" t="n">
        <x:v>46246</x:v>
      </x:c>
      <x:c r="B19" s="52" t="str">
        <x:f t="shared" si="0">IF(SUM(C19:G19)=0,"",SUM(C19:G19))</x:f>
      </x:c>
      <x:c r="C19" s="99"/>
      <x:c r="D19" s="100"/>
      <x:c r="E19" s="100"/>
      <x:c r="F19" s="53" t="str">
        <x:f>IF('RETAIL &amp; PRINT'!M22="","",'RETAIL &amp; PRINT'!M22)</x:f>
      </x:c>
      <x:c r="G19" s="53" t="str">
        <x:f t="shared" si="1">IF(F19="","",F19*10%)</x:f>
      </x:c>
      <x:c r="H19" s="1"/>
      <x:c r="I19" s="1"/>
      <x:c r="J19" s="1"/>
      <x:c r="K19" s="1"/>
      <x:c r="L19" s="1"/>
      <x:c r="M19" s="1"/>
      <x:c r="N19" s="1"/>
      <x:c r="O19" s="1"/>
      <x:c r="P19" s="1"/>
    </x:row>
    <x:row r="20" ht="16.5">
      <x:c r="A20" s="171" t="n">
        <x:v>46247</x:v>
      </x:c>
      <x:c r="B20" s="52" t="str">
        <x:f t="shared" si="0">IF(SUM(C20:G20)=0,"",SUM(C20:G20))</x:f>
      </x:c>
      <x:c r="C20" s="99"/>
      <x:c r="D20" s="100"/>
      <x:c r="E20" s="100"/>
      <x:c r="F20" s="53" t="str">
        <x:f>IF('RETAIL &amp; PRINT'!M23="","",'RETAIL &amp; PRINT'!M23)</x:f>
      </x:c>
      <x:c r="G20" s="53" t="str">
        <x:f t="shared" si="1">IF(F20="","",F20*10%)</x:f>
      </x:c>
      <x:c r="H20" s="1"/>
      <x:c r="I20" s="1"/>
      <x:c r="J20" s="1"/>
      <x:c r="K20" s="1"/>
      <x:c r="L20" s="1"/>
      <x:c r="M20" s="1"/>
      <x:c r="N20" s="1"/>
      <x:c r="O20" s="1"/>
      <x:c r="P20" s="1"/>
    </x:row>
    <x:row r="21" ht="16.5">
      <x:c r="A21" s="171" t="n">
        <x:v>46248</x:v>
      </x:c>
      <x:c r="B21" s="52" t="str">
        <x:f t="shared" si="0">IF(SUM(C21:G21)=0,"",SUM(C21:G21))</x:f>
      </x:c>
      <x:c r="C21" s="99"/>
      <x:c r="D21" s="100"/>
      <x:c r="E21" s="100"/>
      <x:c r="F21" s="53" t="str">
        <x:f>IF('RETAIL &amp; PRINT'!M24="","",'RETAIL &amp; PRINT'!M24)</x:f>
      </x:c>
      <x:c r="G21" s="53" t="str">
        <x:f t="shared" si="1">IF(F21="","",F21*10%)</x:f>
      </x:c>
      <x:c r="H21" s="1"/>
      <x:c r="I21" s="1"/>
      <x:c r="J21" s="1"/>
      <x:c r="K21" s="1"/>
      <x:c r="L21" s="1"/>
      <x:c r="M21" s="1"/>
      <x:c r="N21" s="1"/>
      <x:c r="O21" s="1"/>
      <x:c r="P21" s="1"/>
    </x:row>
    <x:row r="22" ht="16.5">
      <x:c r="A22" s="171" t="n">
        <x:v>46249</x:v>
      </x:c>
      <x:c r="B22" s="52" t="str">
        <x:f t="shared" si="0">IF(SUM(C22:G22)=0,"",SUM(C22:G22))</x:f>
      </x:c>
      <x:c r="C22" s="99"/>
      <x:c r="D22" s="100"/>
      <x:c r="E22" s="100"/>
      <x:c r="F22" s="53" t="str">
        <x:f>IF('RETAIL &amp; PRINT'!M25="","",'RETAIL &amp; PRINT'!M25)</x:f>
      </x:c>
      <x:c r="G22" s="53" t="str">
        <x:f t="shared" si="1">IF(F22="","",F22*10%)</x:f>
      </x:c>
      <x:c r="H22" s="1"/>
      <x:c r="I22" s="1"/>
      <x:c r="J22" s="1"/>
      <x:c r="K22" s="1"/>
      <x:c r="L22" s="1"/>
      <x:c r="M22" s="1"/>
      <x:c r="N22" s="1"/>
      <x:c r="O22" s="1"/>
      <x:c r="P22" s="1"/>
    </x:row>
    <x:row r="23" ht="16.5">
      <x:c r="A23" s="171" t="n">
        <x:v>46250</x:v>
      </x:c>
      <x:c r="B23" s="52" t="str">
        <x:f t="shared" si="0">IF(SUM(C23:G23)=0,"",SUM(C23:G23))</x:f>
      </x:c>
      <x:c r="C23" s="99"/>
      <x:c r="D23" s="100"/>
      <x:c r="E23" s="100"/>
      <x:c r="F23" s="53" t="str">
        <x:f>IF('RETAIL &amp; PRINT'!M26="","",'RETAIL &amp; PRINT'!M26)</x:f>
      </x:c>
      <x:c r="G23" s="53" t="str">
        <x:f t="shared" si="1">IF(F23="","",F23*10%)</x:f>
      </x:c>
      <x:c r="H23" s="1"/>
      <x:c r="I23" s="1"/>
      <x:c r="J23" s="1"/>
      <x:c r="K23" s="1"/>
      <x:c r="L23" s="1"/>
      <x:c r="M23" s="1"/>
      <x:c r="N23" s="1"/>
      <x:c r="O23" s="1"/>
      <x:c r="P23" s="1"/>
    </x:row>
    <x:row r="24" ht="16.5">
      <x:c r="A24" s="171" t="n">
        <x:v>46251</x:v>
      </x:c>
      <x:c r="B24" s="52" t="str">
        <x:f t="shared" si="0">IF(SUM(C24:G24)=0,"",SUM(C24:G24))</x:f>
      </x:c>
      <x:c r="C24" s="99"/>
      <x:c r="D24" s="100"/>
      <x:c r="E24" s="100"/>
      <x:c r="F24" s="53" t="str">
        <x:f>IF('RETAIL &amp; PRINT'!M27="","",'RETAIL &amp; PRINT'!M27)</x:f>
      </x:c>
      <x:c r="G24" s="53" t="str">
        <x:f t="shared" si="1">IF(F24="","",F24*10%)</x:f>
      </x:c>
      <x:c r="H24" s="1"/>
      <x:c r="I24" s="1"/>
      <x:c r="J24" s="1"/>
      <x:c r="K24" s="1"/>
      <x:c r="L24" s="1"/>
      <x:c r="M24" s="1"/>
      <x:c r="N24" s="1"/>
      <x:c r="O24" s="1"/>
      <x:c r="P24" s="1"/>
    </x:row>
    <x:row r="25" ht="16.5">
      <x:c r="A25" s="171" t="n">
        <x:v>46252</x:v>
      </x:c>
      <x:c r="B25" s="52" t="str">
        <x:f t="shared" si="0">IF(SUM(C25:G25)=0,"",SUM(C25:G25))</x:f>
      </x:c>
      <x:c r="C25" s="99"/>
      <x:c r="D25" s="100"/>
      <x:c r="E25" s="100"/>
      <x:c r="F25" s="53" t="str">
        <x:f>IF('RETAIL &amp; PRINT'!M28="","",'RETAIL &amp; PRINT'!M28)</x:f>
      </x:c>
      <x:c r="G25" s="53" t="str">
        <x:f t="shared" si="1">IF(F25="","",F25*10%)</x:f>
      </x:c>
      <x:c r="H25" s="1"/>
      <x:c r="I25" s="34"/>
      <x:c r="J25" s="34"/>
      <x:c r="K25" s="34"/>
      <x:c r="L25" s="1"/>
      <x:c r="M25" s="1"/>
      <x:c r="N25" s="1"/>
      <x:c r="O25" s="1"/>
      <x:c r="P25" s="1"/>
    </x:row>
    <x:row r="26" ht="16.5">
      <x:c r="A26" s="171" t="n">
        <x:v>46253</x:v>
      </x:c>
      <x:c r="B26" s="52" t="str">
        <x:f t="shared" si="0">IF(SUM(C26:G26)=0,"",SUM(C26:G26))</x:f>
      </x:c>
      <x:c r="C26" s="101"/>
      <x:c r="D26" s="100"/>
      <x:c r="E26" s="100"/>
      <x:c r="F26" s="53" t="str">
        <x:f>IF('RETAIL &amp; PRINT'!M29="","",'RETAIL &amp; PRINT'!M29)</x:f>
      </x:c>
      <x:c r="G26" s="53" t="str">
        <x:f t="shared" si="1">IF(F26="","",F26*10%)</x:f>
      </x:c>
      <x:c r="H26" s="1"/>
      <x:c r="I26" s="33"/>
      <x:c r="J26" s="33"/>
      <x:c r="K26" s="33"/>
      <x:c r="L26" s="1"/>
      <x:c r="M26" s="1"/>
      <x:c r="N26" s="1"/>
      <x:c r="O26" s="1"/>
      <x:c r="P26" s="1"/>
    </x:row>
    <x:row r="27" ht="16.5">
      <x:c r="A27" s="171" t="n">
        <x:v>46254</x:v>
      </x:c>
      <x:c r="B27" s="52" t="str">
        <x:f t="shared" si="0">IF(SUM(C27:G27)=0,"",SUM(C27:G27))</x:f>
      </x:c>
      <x:c r="C27" s="99"/>
      <x:c r="D27" s="100"/>
      <x:c r="E27" s="100"/>
      <x:c r="F27" s="53" t="str">
        <x:f>IF('RETAIL &amp; PRINT'!M30="","",'RETAIL &amp; PRINT'!M30)</x:f>
      </x:c>
      <x:c r="G27" s="53" t="str">
        <x:f t="shared" si="1">IF(F27="","",F27*10%)</x:f>
      </x:c>
      <x:c r="H27" s="1"/>
      <x:c r="I27" s="34"/>
      <x:c r="J27" s="35"/>
      <x:c r="K27" s="36"/>
      <x:c r="L27" s="1"/>
      <x:c r="M27" s="1"/>
      <x:c r="N27" s="1"/>
      <x:c r="O27" s="1"/>
      <x:c r="P27" s="1"/>
    </x:row>
    <x:row r="28" ht="16.5">
      <x:c r="A28" s="171" t="n">
        <x:v>46255</x:v>
      </x:c>
      <x:c r="B28" s="52" t="str">
        <x:f t="shared" si="0">IF(SUM(C28:G28)=0,"",SUM(C28:G28))</x:f>
      </x:c>
      <x:c r="C28" s="99"/>
      <x:c r="D28" s="100"/>
      <x:c r="E28" s="100"/>
      <x:c r="F28" s="53" t="str">
        <x:f>IF('RETAIL &amp; PRINT'!M31="","",'RETAIL &amp; PRINT'!M31)</x:f>
      </x:c>
      <x:c r="G28" s="53" t="str">
        <x:f t="shared" si="1">IF(F28="","",F28*10%)</x:f>
      </x:c>
      <x:c r="H28" s="1"/>
      <x:c r="I28" s="34"/>
      <x:c r="J28" s="37"/>
      <x:c r="K28" s="36"/>
      <x:c r="L28" s="1"/>
      <x:c r="M28" s="1"/>
      <x:c r="N28" s="1"/>
      <x:c r="O28" s="1"/>
      <x:c r="P28" s="1"/>
    </x:row>
    <x:row r="29" ht="16.5">
      <x:c r="A29" s="171" t="n">
        <x:v>46256</x:v>
      </x:c>
      <x:c r="B29" s="52" t="str">
        <x:f t="shared" si="0">IF(SUM(C29:G29)=0,"",SUM(C29:G29))</x:f>
      </x:c>
      <x:c r="C29" s="99"/>
      <x:c r="D29" s="103"/>
      <x:c r="E29" s="103"/>
      <x:c r="F29" s="53" t="str">
        <x:f>IF('RETAIL &amp; PRINT'!M32="","",'RETAIL &amp; PRINT'!M32)</x:f>
      </x:c>
      <x:c r="G29" s="53" t="str">
        <x:f t="shared" si="1">IF(F29="","",F29*10%)</x:f>
      </x:c>
      <x:c r="H29" s="1"/>
      <x:c r="I29" s="1"/>
      <x:c r="J29" s="29"/>
      <x:c r="K29" s="30"/>
      <x:c r="L29" s="1"/>
      <x:c r="M29" s="1"/>
      <x:c r="N29" s="1"/>
      <x:c r="O29" s="1"/>
      <x:c r="P29" s="1"/>
    </x:row>
    <x:row r="30" ht="16.5">
      <x:c r="A30" s="171" t="n">
        <x:v>46257</x:v>
      </x:c>
      <x:c r="B30" s="52" t="str">
        <x:f t="shared" si="0">IF(SUM(C30:G30)=0,"",SUM(C30:G30))</x:f>
      </x:c>
      <x:c r="C30" s="99"/>
      <x:c r="D30" s="100"/>
      <x:c r="E30" s="100"/>
      <x:c r="F30" s="53" t="str">
        <x:f>IF('RETAIL &amp; PRINT'!M33="","",'RETAIL &amp; PRINT'!M33)</x:f>
      </x:c>
      <x:c r="G30" s="53" t="str">
        <x:f t="shared" si="1">IF(F30="","",F30*10%)</x:f>
      </x:c>
      <x:c r="H30" s="1"/>
      <x:c r="I30" s="1"/>
      <x:c r="J30" s="31"/>
      <x:c r="K30" s="30"/>
      <x:c r="L30" s="1"/>
      <x:c r="M30" s="1"/>
      <x:c r="N30" s="1"/>
      <x:c r="O30" s="1"/>
      <x:c r="P30" s="1"/>
    </x:row>
    <x:row r="31" ht="16.5">
      <x:c r="A31" s="171" t="n">
        <x:v>46258</x:v>
      </x:c>
      <x:c r="B31" s="52" t="str">
        <x:f t="shared" si="0">IF(SUM(C31:G31)=0,"",SUM(C31:G31))</x:f>
      </x:c>
      <x:c r="C31" s="99"/>
      <x:c r="D31" s="100"/>
      <x:c r="E31" s="100"/>
      <x:c r="F31" s="53" t="str">
        <x:f>IF('RETAIL &amp; PRINT'!M34="","",'RETAIL &amp; PRINT'!M34)</x:f>
      </x:c>
      <x:c r="G31" s="53" t="str">
        <x:f t="shared" si="1">IF(F31="","",F31*10%)</x:f>
      </x:c>
      <x:c r="I31" s="1"/>
      <x:c r="J31" s="29"/>
      <x:c r="K31" s="30"/>
      <x:c r="L31" s="1"/>
      <x:c r="M31" s="1"/>
      <x:c r="N31" s="1"/>
      <x:c r="O31" s="1"/>
      <x:c r="P31" s="1"/>
    </x:row>
    <x:row r="32" ht="16.5">
      <x:c r="A32" s="171" t="n">
        <x:v>46259</x:v>
      </x:c>
      <x:c r="B32" s="52" t="str">
        <x:f t="shared" si="0">IF(SUM(C32:G32)=0,"",SUM(C32:G32))</x:f>
      </x:c>
      <x:c r="C32" s="99"/>
      <x:c r="D32" s="100"/>
      <x:c r="E32" s="100"/>
      <x:c r="F32" s="53" t="str">
        <x:f>IF('RETAIL &amp; PRINT'!M35="","",'RETAIL &amp; PRINT'!M35)</x:f>
      </x:c>
      <x:c r="G32" s="53" t="str">
        <x:f t="shared" si="1">IF(F32="","",F32*10%)</x:f>
      </x:c>
      <x:c r="H32" s="1"/>
      <x:c r="I32" s="1"/>
      <x:c r="J32" s="31"/>
      <x:c r="K32" s="30"/>
      <x:c r="L32" s="1"/>
      <x:c r="M32" s="1"/>
      <x:c r="N32" s="1"/>
      <x:c r="O32" s="1"/>
      <x:c r="P32" s="1"/>
    </x:row>
    <x:row r="33" ht="16.5">
      <x:c r="A33" s="171" t="n">
        <x:v>46260</x:v>
      </x:c>
      <x:c r="B33" s="52" t="str">
        <x:f t="shared" si="0">IF(SUM(C33:G33)=0,"",SUM(C33:G33))</x:f>
      </x:c>
      <x:c r="C33" s="99"/>
      <x:c r="D33" s="100"/>
      <x:c r="E33" s="100"/>
      <x:c r="F33" s="53" t="str">
        <x:f>IF('RETAIL &amp; PRINT'!M36="","",'RETAIL &amp; PRINT'!M36)</x:f>
      </x:c>
      <x:c r="G33" s="53" t="str">
        <x:f t="shared" si="1">IF(F33="","",F33*10%)</x:f>
      </x:c>
      <x:c r="H33" s="1"/>
      <x:c r="I33" s="1"/>
      <x:c r="J33" s="32"/>
      <x:c r="K33" s="30"/>
      <x:c r="L33" s="1"/>
      <x:c r="M33" s="1"/>
      <x:c r="N33" s="1"/>
      <x:c r="O33" s="1"/>
      <x:c r="P33" s="1"/>
    </x:row>
    <x:row r="34" ht="16.5">
      <x:c r="A34" s="171" t="n">
        <x:v>46261</x:v>
      </x:c>
      <x:c r="B34" s="52" t="str">
        <x:f t="shared" si="0">IF(SUM(C34:G34)=0,"",SUM(C34:G34))</x:f>
      </x:c>
      <x:c r="C34" s="99"/>
      <x:c r="D34" s="100"/>
      <x:c r="E34" s="100"/>
      <x:c r="F34" s="53" t="str">
        <x:f>IF('RETAIL &amp; PRINT'!M37="","",'RETAIL &amp; PRINT'!M37)</x:f>
      </x:c>
      <x:c r="G34" s="53" t="str">
        <x:f t="shared" si="1">IF(F34="","",F34*10%)</x:f>
      </x:c>
      <x:c r="H34" s="1"/>
      <x:c r="I34" s="1"/>
      <x:c r="J34" s="1"/>
      <x:c r="K34" s="1"/>
      <x:c r="L34" s="1"/>
      <x:c r="M34" s="1"/>
      <x:c r="N34" s="1"/>
      <x:c r="O34" s="1"/>
      <x:c r="P34" s="1"/>
    </x:row>
    <x:row r="35" ht="16.5">
      <x:c r="A35" s="171" t="n">
        <x:v>46262</x:v>
      </x:c>
      <x:c r="B35" s="52" t="str">
        <x:f t="shared" si="0">IF(SUM(C35:G35)=0,"",SUM(C35:G35))</x:f>
      </x:c>
      <x:c r="C35" s="99"/>
      <x:c r="D35" s="100"/>
      <x:c r="E35" s="100"/>
      <x:c r="F35" s="53" t="str">
        <x:f>IF('RETAIL &amp; PRINT'!M38="","",'RETAIL &amp; PRINT'!M38)</x:f>
      </x:c>
      <x:c r="G35" s="53" t="str">
        <x:f t="shared" si="1">IF(F35="","",F35*10%)</x:f>
      </x:c>
      <x:c r="H35" s="1"/>
      <x:c r="I35" s="1"/>
      <x:c r="J35" s="1"/>
      <x:c r="K35" s="1"/>
      <x:c r="L35" s="1"/>
      <x:c r="M35" s="1"/>
      <x:c r="N35" s="1"/>
      <x:c r="O35" s="1"/>
      <x:c r="P35" s="1"/>
    </x:row>
    <x:row r="36" ht="16.5">
      <x:c r="A36" s="171" t="n">
        <x:v>46263</x:v>
      </x:c>
      <x:c r="B36" s="52" t="str">
        <x:f t="shared" si="0">IF(SUM(C36:G36)=0,"",SUM(C36:G36))</x:f>
      </x:c>
      <x:c r="C36" s="99"/>
      <x:c r="D36" s="100"/>
      <x:c r="E36" s="100"/>
      <x:c r="F36" s="53" t="str">
        <x:f>IF('RETAIL &amp; PRINT'!M39="","",'RETAIL &amp; PRINT'!M39)</x:f>
      </x:c>
      <x:c r="G36" s="53" t="str">
        <x:f t="shared" si="1">IF(F36="","",F36*10%)</x:f>
      </x:c>
      <x:c r="H36" s="1"/>
      <x:c r="I36" s="1"/>
      <x:c r="J36" s="1"/>
      <x:c r="K36" s="1"/>
      <x:c r="L36" s="1"/>
      <x:c r="M36" s="1"/>
      <x:c r="N36" s="1"/>
      <x:c r="O36" s="1"/>
      <x:c r="P36" s="1"/>
    </x:row>
    <x:row r="37" ht="16.5">
      <x:c r="A37" s="171" t="n">
        <x:v>46264</x:v>
      </x:c>
      <x:c r="B37" s="52" t="str">
        <x:f t="shared" si="0">IF(SUM(C37:G37)=0,"",SUM(C37:G37))</x:f>
      </x:c>
      <x:c r="C37" s="53"/>
      <x:c r="D37" s="54"/>
      <x:c r="E37" s="54"/>
      <x:c r="F37" s="53" t="str">
        <x:f>IF('RETAIL &amp; PRINT'!M40="","",'RETAIL &amp; PRINT'!M40)</x:f>
      </x:c>
      <x:c r="G37" s="53" t="str">
        <x:f t="shared" si="1">IF(F37="","",F37*10%)</x:f>
      </x:c>
      <x:c r="H37" s="1"/>
      <x:c r="I37" s="1"/>
      <x:c r="J37" s="1"/>
      <x:c r="K37" s="1"/>
      <x:c r="L37" s="1"/>
      <x:c r="M37" s="1"/>
      <x:c r="N37" s="1"/>
      <x:c r="O37" s="1"/>
      <x:c r="P37" s="1"/>
    </x:row>
    <x:row r="38" ht="16.5">
      <x:c r="A38" s="171" t="n">
        <x:v>46265</x:v>
      </x:c>
      <x:c r="B38" s="52" t="str">
        <x:f t="shared" si="0">IF(SUM(C38:G38)=0,"",SUM(C38:G38))</x:f>
      </x:c>
      <x:c r="C38" s="53"/>
      <x:c r="D38" s="54"/>
      <x:c r="E38" s="54"/>
      <x:c r="F38" s="53" t="str">
        <x:f>IF('RETAIL &amp; PRINT'!M41="","",'RETAIL &amp; PRINT'!M41)</x:f>
      </x:c>
      <x:c r="G38" s="53" t="str">
        <x:f t="shared" si="1">IF(F38="","",F38*10%)</x:f>
      </x:c>
      <x:c r="H38" s="1"/>
      <x:c r="I38" s="1"/>
      <x:c r="J38" s="1"/>
      <x:c r="K38" s="1"/>
      <x:c r="L38" s="1"/>
      <x:c r="M38" s="1"/>
      <x:c r="N38" s="1"/>
      <x:c r="O38" s="1"/>
      <x:c r="P38" s="1"/>
    </x:row>
    <x:row r="39" ht="16.5">
      <x:c r="A39" s="51"/>
      <x:c r="B39" s="75" t="str">
        <x:f t="shared" ref="B39:G39" si="2">IF(SUM(B8:B38)=0,"",SUM(B8:B38))</x:f>
      </x:c>
      <x:c r="C39" s="75" t="str">
        <x:f t="shared" si="2">IF(SUM(C8:C38)=0,"",SUM(C8:C38))</x:f>
      </x:c>
      <x:c r="D39" s="75" t="str">
        <x:f t="shared" si="2">IF(SUM(D8:D38)=0,"",SUM(D8:D38))</x:f>
      </x:c>
      <x:c r="E39" s="75" t="str">
        <x:f t="shared" si="2">IF(SUM(E8:E38)=0,"",SUM(E8:E38))</x:f>
      </x:c>
      <x:c r="F39" s="75" t="str">
        <x:f t="shared" si="2">IF(SUM(F8:F38)=0,"",SUM(F8:F38))</x:f>
      </x:c>
      <x:c r="G39" s="75" t="str">
        <x:f t="shared" si="2">IF(SUM(G8:G38)=0,"",SUM(G8:G38))</x:f>
      </x:c>
      <x:c r="H39" s="1"/>
      <x:c r="I39" s="1"/>
      <x:c r="J39" s="1"/>
      <x:c r="K39" s="1"/>
      <x:c r="L39" s="1"/>
      <x:c r="M39" s="1"/>
      <x:c r="N39" s="1"/>
      <x:c r="O39" s="1"/>
      <x:c r="P39" s="1"/>
    </x:row>
    <x:row r="40" ht="16.5">
      <x:c r="A40" s="51"/>
      <x:c r="B40" s="66" t="str">
        <x:f>IF(B39="","",B39)</x:f>
      </x:c>
      <x:c r="C40" s="67" t="str">
        <x:f>IF(C39="","",C39)</x:f>
      </x:c>
      <x:c r="D40" s="107" t="str">
        <x:f>IF(SUM(D39:E39)=0,"",SUM(D39:E39))</x:f>
      </x:c>
      <x:c r="E40" s="108"/>
      <x:c r="F40" s="142" t="str">
        <x:f>IF(SUM(F39:G39)=0,"",SUM(F39:G39))</x:f>
      </x:c>
      <x:c r="G40" s="143"/>
      <x:c r="H40" s="1"/>
      <x:c r="I40" s="1"/>
      <x:c r="J40" s="1"/>
      <x:c r="K40" s="1"/>
      <x:c r="L40" s="1"/>
      <x:c r="M40" s="1"/>
      <x:c r="N40" s="1"/>
      <x:c r="O40" s="1"/>
      <x:c r="P40" s="1"/>
    </x:row>
    <x:row r="41" ht="16.5">
      <x:c r="B41" s="11"/>
      <x:c r="C41" s="1"/>
      <x:c r="D41" s="19"/>
      <x:c r="E41" s="19"/>
      <x:c r="F41" s="12"/>
      <x:c r="G41" s="13"/>
      <x:c r="H41" s="1"/>
      <x:c r="I41" s="1"/>
      <x:c r="J41" s="1"/>
      <x:c r="K41" s="1"/>
      <x:c r="L41" s="1"/>
      <x:c r="M41" s="1"/>
      <x:c r="N41" s="1"/>
      <x:c r="O41" s="1"/>
      <x:c r="P41" s="1"/>
    </x:row>
    <x:row r="42" ht="16.5">
      <x:c r="B42" s="11"/>
      <x:c r="C42" s="1"/>
      <x:c r="D42" s="19"/>
      <x:c r="E42" s="19"/>
      <x:c r="F42" s="12"/>
      <x:c r="G42" s="25"/>
      <x:c r="H42" s="1"/>
      <x:c r="I42" s="1"/>
      <x:c r="J42" s="1"/>
      <x:c r="K42" s="1"/>
      <x:c r="L42" s="1"/>
      <x:c r="M42" s="1"/>
      <x:c r="N42" s="1"/>
      <x:c r="O42" s="1"/>
      <x:c r="P42" s="1"/>
    </x:row>
    <x:row r="43" ht="16.5">
      <x:c r="B43" s="11"/>
      <x:c r="C43" s="27"/>
      <x:c r="D43" s="19"/>
      <x:c r="E43" s="19"/>
      <x:c r="F43" s="12"/>
      <x:c r="G43" s="13"/>
      <x:c r="H43" s="1"/>
      <x:c r="I43" s="1"/>
      <x:c r="J43" s="1"/>
      <x:c r="K43" s="1"/>
      <x:c r="L43" s="1"/>
      <x:c r="M43" s="1"/>
      <x:c r="N43" s="1"/>
      <x:c r="O43" s="1"/>
      <x:c r="P43" s="1"/>
    </x:row>
    <x:row r="44" ht="16.5">
      <x:c r="B44" s="11"/>
      <x:c r="C44" s="27"/>
      <x:c r="D44" s="19"/>
      <x:c r="E44" s="19"/>
      <x:c r="F44" s="12"/>
      <x:c r="G44" s="13"/>
      <x:c r="H44" s="1"/>
      <x:c r="I44" s="1"/>
      <x:c r="J44" s="1"/>
      <x:c r="K44" s="1"/>
      <x:c r="L44" s="1"/>
      <x:c r="M44" s="1"/>
      <x:c r="N44" s="1"/>
      <x:c r="O44" s="1"/>
      <x:c r="P44" s="1"/>
    </x:row>
    <x:row r="45" ht="16.5">
      <x:c r="B45" s="11"/>
      <x:c r="C45" s="27"/>
      <x:c r="D45" s="19"/>
      <x:c r="E45" s="19"/>
      <x:c r="F45" s="12"/>
      <x:c r="G45" s="13"/>
      <x:c r="H45" s="1"/>
      <x:c r="I45" s="1"/>
      <x:c r="J45" s="1"/>
      <x:c r="K45" s="1"/>
      <x:c r="L45" s="1"/>
      <x:c r="M45" s="1"/>
      <x:c r="N45" s="1"/>
      <x:c r="O45" s="1"/>
      <x:c r="P45" s="1"/>
    </x:row>
    <x:row r="46" ht="16.5">
      <x:c r="B46" s="11"/>
      <x:c r="C46" s="1"/>
      <x:c r="D46" s="19"/>
      <x:c r="E46" s="19"/>
      <x:c r="F46" s="12"/>
      <x:c r="G46" s="13"/>
      <x:c r="H46" s="1"/>
      <x:c r="I46" s="1"/>
      <x:c r="J46" s="1"/>
      <x:c r="K46" s="1"/>
      <x:c r="L46" s="1"/>
      <x:c r="M46" s="1"/>
      <x:c r="N46" s="1"/>
      <x:c r="O46" s="1"/>
      <x:c r="P46" s="1"/>
    </x:row>
    <x:row r="47" ht="16.5">
      <x:c r="B47" s="11"/>
      <x:c r="C47" s="1"/>
      <x:c r="D47" s="19"/>
      <x:c r="E47" s="19"/>
      <x:c r="F47" s="12"/>
      <x:c r="G47" s="13"/>
      <x:c r="H47" s="1"/>
      <x:c r="I47" s="1"/>
      <x:c r="J47" s="1"/>
      <x:c r="K47" s="1"/>
      <x:c r="L47" s="1"/>
      <x:c r="M47" s="1"/>
      <x:c r="N47" s="1"/>
      <x:c r="O47" s="1"/>
      <x:c r="P47" s="1"/>
    </x:row>
    <x:row r="48" ht="16.5">
      <x:c r="B48" s="11"/>
      <x:c r="C48" s="1"/>
      <x:c r="D48" s="19"/>
      <x:c r="E48" s="19"/>
      <x:c r="F48" s="12"/>
      <x:c r="G48" s="13"/>
      <x:c r="H48" s="1"/>
      <x:c r="I48" s="1"/>
      <x:c r="J48" s="1"/>
      <x:c r="K48" s="1"/>
      <x:c r="L48" s="1"/>
      <x:c r="M48" s="1"/>
      <x:c r="N48" s="1"/>
      <x:c r="O48" s="1"/>
      <x:c r="P48" s="1"/>
    </x:row>
    <x:row r="49" ht="16.5">
      <x:c r="B49" s="11"/>
      <x:c r="C49" s="1"/>
      <x:c r="D49" s="19"/>
      <x:c r="E49" s="19"/>
      <x:c r="F49" s="12"/>
      <x:c r="G49" s="13"/>
      <x:c r="H49" s="1"/>
      <x:c r="I49" s="1"/>
      <x:c r="J49" s="1"/>
      <x:c r="K49" s="1"/>
      <x:c r="L49" s="1"/>
      <x:c r="M49" s="1"/>
      <x:c r="N49" s="1"/>
      <x:c r="O49" s="1"/>
      <x:c r="P49" s="1"/>
    </x:row>
    <x:row r="50" ht="16.5">
      <x:c r="A50"/>
      <x:c r="B50" s="11"/>
      <x:c r="C50" s="1"/>
      <x:c r="D50" s="19"/>
      <x:c r="E50" s="19"/>
      <x:c r="F50" s="12"/>
      <x:c r="G50" s="13"/>
      <x:c r="H50" s="1"/>
      <x:c r="I50" s="1"/>
      <x:c r="J50" s="1"/>
      <x:c r="K50" s="1"/>
      <x:c r="L50" s="1"/>
      <x:c r="M50" s="1"/>
      <x:c r="N50" s="1"/>
      <x:c r="O50" s="1"/>
      <x:c r="P50" s="1"/>
    </x:row>
    <x:row r="51" ht="16.5">
      <x:c r="A51"/>
      <x:c r="B51" s="11"/>
      <x:c r="C51" s="1"/>
      <x:c r="D51" s="19"/>
      <x:c r="E51" s="19"/>
      <x:c r="F51" s="12"/>
      <x:c r="G51" s="13"/>
      <x:c r="H51" s="1"/>
      <x:c r="I51" s="1"/>
      <x:c r="J51" s="1"/>
      <x:c r="K51" s="1"/>
      <x:c r="L51" s="1"/>
      <x:c r="M51" s="1"/>
      <x:c r="N51" s="1"/>
      <x:c r="O51" s="1"/>
      <x:c r="P51" s="1"/>
    </x:row>
    <x:row r="52" ht="16.5">
      <x:c r="A52"/>
      <x:c r="B52" s="11"/>
      <x:c r="C52" s="1"/>
      <x:c r="D52" s="19"/>
      <x:c r="E52" s="19"/>
      <x:c r="F52" s="12"/>
      <x:c r="G52" s="13"/>
      <x:c r="H52" s="1"/>
      <x:c r="I52" s="1"/>
      <x:c r="J52" s="1"/>
      <x:c r="K52" s="1"/>
      <x:c r="L52" s="1"/>
      <x:c r="M52" s="1"/>
      <x:c r="N52" s="1"/>
      <x:c r="O52" s="1"/>
      <x:c r="P52" s="1"/>
    </x:row>
    <x:row r="53" ht="16.5">
      <x:c r="A53"/>
      <x:c r="B53" s="11"/>
      <x:c r="C53" s="1"/>
      <x:c r="D53" s="19"/>
      <x:c r="E53" s="19"/>
      <x:c r="F53" s="12"/>
      <x:c r="G53" s="13"/>
      <x:c r="H53" s="1"/>
      <x:c r="I53" s="1"/>
      <x:c r="J53" s="1"/>
      <x:c r="K53" s="1"/>
      <x:c r="L53" s="1"/>
      <x:c r="M53" s="1"/>
      <x:c r="N53" s="1"/>
      <x:c r="O53" s="1"/>
      <x:c r="P53" s="1"/>
    </x:row>
    <x:row r="54" ht="16.5">
      <x:c r="A54"/>
      <x:c r="B54" s="11"/>
      <x:c r="C54" s="1"/>
      <x:c r="D54" s="19"/>
      <x:c r="E54" s="19"/>
      <x:c r="F54" s="12"/>
      <x:c r="G54" s="13"/>
      <x:c r="H54" s="1"/>
      <x:c r="I54" s="1"/>
      <x:c r="J54" s="1"/>
      <x:c r="K54" s="1"/>
      <x:c r="L54" s="1"/>
      <x:c r="M54" s="1"/>
      <x:c r="N54" s="1"/>
      <x:c r="O54" s="1"/>
      <x:c r="P54" s="1"/>
    </x:row>
    <x:row r="55" ht="16.5">
      <x:c r="A55"/>
      <x:c r="B55" s="11"/>
      <x:c r="C55" s="1"/>
      <x:c r="D55" s="19"/>
      <x:c r="E55" s="19"/>
      <x:c r="F55" s="12"/>
      <x:c r="G55" s="13"/>
      <x:c r="H55" s="1"/>
      <x:c r="I55" s="1"/>
      <x:c r="J55" s="1"/>
      <x:c r="K55" s="1"/>
      <x:c r="L55" s="1"/>
      <x:c r="M55" s="1"/>
      <x:c r="N55" s="1"/>
      <x:c r="O55" s="1"/>
      <x:c r="P55" s="1"/>
    </x:row>
    <x:row r="56" ht="16.5">
      <x:c r="A56"/>
      <x:c r="B56" s="11"/>
      <x:c r="C56" s="1"/>
      <x:c r="D56" s="19"/>
      <x:c r="E56" s="19"/>
      <x:c r="F56" s="12"/>
      <x:c r="G56" s="13"/>
      <x:c r="H56" s="1"/>
      <x:c r="I56" s="1"/>
      <x:c r="J56" s="1"/>
      <x:c r="K56" s="1"/>
      <x:c r="L56" s="1"/>
      <x:c r="M56" s="1"/>
      <x:c r="N56" s="1"/>
      <x:c r="O56" s="1"/>
      <x:c r="P56" s="1"/>
    </x:row>
    <x:row r="57" ht="16.5">
      <x:c r="A57"/>
      <x:c r="B57" s="11"/>
      <x:c r="C57" s="1"/>
      <x:c r="D57" s="19"/>
      <x:c r="E57" s="19"/>
      <x:c r="F57" s="12"/>
      <x:c r="G57" s="13"/>
      <x:c r="H57" s="1"/>
      <x:c r="I57" s="1"/>
      <x:c r="J57" s="1"/>
      <x:c r="K57" s="1"/>
      <x:c r="L57" s="1"/>
      <x:c r="M57" s="1"/>
      <x:c r="N57" s="1"/>
      <x:c r="O57" s="1"/>
      <x:c r="P57" s="1"/>
    </x:row>
    <x:row r="58" ht="16.5">
      <x:c r="A58"/>
      <x:c r="B58" s="11"/>
      <x:c r="C58" s="1"/>
      <x:c r="D58" s="19"/>
      <x:c r="E58" s="19"/>
      <x:c r="F58" s="12"/>
      <x:c r="G58" s="13"/>
      <x:c r="H58" s="1"/>
      <x:c r="I58" s="1"/>
      <x:c r="J58" s="1"/>
      <x:c r="K58" s="1"/>
      <x:c r="L58" s="1"/>
      <x:c r="M58" s="1"/>
      <x:c r="N58" s="1"/>
      <x:c r="O58" s="1"/>
      <x:c r="P58" s="1"/>
    </x:row>
    <x:row r="59" ht="16.5">
      <x:c r="A59"/>
      <x:c r="B59" s="11"/>
      <x:c r="C59" s="1"/>
      <x:c r="D59" s="19"/>
      <x:c r="E59" s="19"/>
      <x:c r="F59" s="12"/>
      <x:c r="G59" s="13"/>
      <x:c r="H59" s="1"/>
      <x:c r="I59" s="1"/>
      <x:c r="J59" s="1"/>
      <x:c r="K59" s="1"/>
      <x:c r="L59" s="1"/>
      <x:c r="M59" s="1"/>
      <x:c r="N59" s="1"/>
      <x:c r="O59" s="1"/>
      <x:c r="P59" s="1"/>
    </x:row>
    <x:row r="60" ht="16.5">
      <x:c r="A60"/>
      <x:c r="B60" s="11"/>
      <x:c r="C60" s="1"/>
      <x:c r="D60" s="19"/>
      <x:c r="E60" s="19"/>
      <x:c r="F60" s="12"/>
      <x:c r="G60" s="13"/>
      <x:c r="H60" s="1"/>
      <x:c r="I60" s="1"/>
      <x:c r="J60" s="1"/>
      <x:c r="K60" s="1"/>
      <x:c r="L60" s="1"/>
      <x:c r="M60" s="1"/>
      <x:c r="N60" s="1"/>
      <x:c r="O60" s="1"/>
      <x:c r="P60" s="1"/>
    </x:row>
    <x:row r="61" ht="16.5">
      <x:c r="A61"/>
      <x:c r="B61" s="11"/>
      <x:c r="C61" s="1"/>
      <x:c r="D61" s="19"/>
      <x:c r="E61" s="19"/>
      <x:c r="F61" s="12"/>
      <x:c r="G61" s="13"/>
      <x:c r="H61" s="1"/>
      <x:c r="I61" s="1"/>
      <x:c r="J61" s="1"/>
      <x:c r="K61" s="1"/>
      <x:c r="L61" s="1"/>
      <x:c r="M61" s="1"/>
      <x:c r="N61" s="1"/>
      <x:c r="O61" s="1"/>
      <x:c r="P61" s="1"/>
    </x:row>
    <x:row r="62" ht="16.5">
      <x:c r="A62"/>
      <x:c r="B62" s="11"/>
      <x:c r="C62" s="1"/>
      <x:c r="D62" s="19"/>
      <x:c r="E62" s="19"/>
      <x:c r="F62" s="12"/>
      <x:c r="G62" s="13"/>
      <x:c r="H62" s="1"/>
      <x:c r="I62" s="1"/>
      <x:c r="J62" s="1"/>
      <x:c r="K62" s="1"/>
      <x:c r="L62" s="1"/>
      <x:c r="M62" s="1"/>
      <x:c r="N62" s="1"/>
      <x:c r="O62" s="1"/>
      <x:c r="P62" s="1"/>
    </x:row>
    <x:row r="63" ht="16.5">
      <x:c r="A63"/>
      <x:c r="B63" s="11"/>
      <x:c r="C63" s="1"/>
      <x:c r="D63" s="19"/>
      <x:c r="E63" s="19"/>
      <x:c r="F63" s="12"/>
      <x:c r="G63" s="13"/>
      <x:c r="H63" s="1"/>
      <x:c r="I63" s="1"/>
      <x:c r="J63" s="1"/>
      <x:c r="K63" s="1"/>
      <x:c r="L63" s="1"/>
      <x:c r="M63" s="1"/>
      <x:c r="N63" s="1"/>
      <x:c r="O63" s="1"/>
      <x:c r="P63" s="1"/>
    </x:row>
    <x:row r="64" ht="16.5">
      <x:c r="A64"/>
      <x:c r="B64" s="11"/>
      <x:c r="C64" s="1"/>
      <x:c r="D64" s="19"/>
      <x:c r="E64" s="19"/>
      <x:c r="F64" s="12"/>
      <x:c r="G64" s="13"/>
      <x:c r="H64" s="1"/>
      <x:c r="I64" s="1"/>
      <x:c r="J64" s="1"/>
      <x:c r="K64" s="1"/>
      <x:c r="L64" s="1"/>
      <x:c r="M64" s="1"/>
      <x:c r="N64" s="1"/>
      <x:c r="O64" s="1"/>
      <x:c r="P64" s="1"/>
    </x:row>
    <x:row r="65" ht="16.5">
      <x:c r="A65"/>
      <x:c r="B65" s="11"/>
      <x:c r="C65" s="1"/>
      <x:c r="D65" s="19"/>
      <x:c r="E65" s="19"/>
      <x:c r="F65" s="12"/>
      <x:c r="G65" s="13"/>
      <x:c r="H65" s="1"/>
      <x:c r="I65" s="1"/>
      <x:c r="J65" s="1"/>
      <x:c r="K65" s="1"/>
      <x:c r="L65" s="1"/>
      <x:c r="M65" s="1"/>
      <x:c r="N65" s="1"/>
      <x:c r="O65" s="1"/>
      <x:c r="P65" s="1"/>
    </x:row>
    <x:row r="66" ht="16.5">
      <x:c r="A66"/>
      <x:c r="B66" s="11"/>
      <x:c r="C66" s="1"/>
      <x:c r="D66" s="19"/>
      <x:c r="E66" s="19"/>
      <x:c r="F66" s="12"/>
      <x:c r="G66" s="13"/>
      <x:c r="H66" s="1"/>
      <x:c r="I66" s="1"/>
      <x:c r="J66" s="1"/>
      <x:c r="K66" s="1"/>
      <x:c r="L66" s="1"/>
      <x:c r="M66" s="1"/>
      <x:c r="N66" s="1"/>
      <x:c r="O66" s="1"/>
      <x:c r="P66" s="1"/>
    </x:row>
    <x:row r="67" ht="16.5">
      <x:c r="A67"/>
      <x:c r="B67" s="11"/>
      <x:c r="C67" s="1"/>
      <x:c r="D67" s="19"/>
      <x:c r="E67" s="19"/>
      <x:c r="F67" s="12"/>
      <x:c r="G67" s="13"/>
      <x:c r="H67" s="1"/>
      <x:c r="I67" s="1"/>
      <x:c r="J67" s="1"/>
      <x:c r="K67" s="1"/>
      <x:c r="L67" s="1"/>
      <x:c r="M67" s="1"/>
      <x:c r="N67" s="1"/>
      <x:c r="O67" s="1"/>
      <x:c r="P67" s="1"/>
    </x:row>
    <x:row r="68" ht="16.5">
      <x:c r="A68"/>
      <x:c r="B68" s="11"/>
      <x:c r="C68" s="1"/>
      <x:c r="D68" s="19"/>
      <x:c r="E68" s="19"/>
      <x:c r="F68" s="12"/>
      <x:c r="G68" s="13"/>
      <x:c r="H68" s="1"/>
      <x:c r="I68" s="1"/>
      <x:c r="J68" s="1"/>
      <x:c r="K68" s="1"/>
      <x:c r="L68" s="1"/>
      <x:c r="M68" s="1"/>
      <x:c r="N68" s="1"/>
      <x:c r="O68" s="1"/>
      <x:c r="P68" s="1"/>
    </x:row>
    <x:row r="69" ht="16.5">
      <x:c r="A69"/>
      <x:c r="B69" s="11"/>
      <x:c r="C69" s="1"/>
      <x:c r="D69" s="19"/>
      <x:c r="E69" s="19"/>
      <x:c r="F69" s="12"/>
      <x:c r="G69" s="13"/>
      <x:c r="H69" s="1"/>
      <x:c r="I69" s="1"/>
      <x:c r="J69" s="1"/>
      <x:c r="K69" s="1"/>
      <x:c r="L69" s="1"/>
      <x:c r="M69" s="1"/>
      <x:c r="N69" s="1"/>
      <x:c r="O69" s="1"/>
      <x:c r="P69" s="1"/>
    </x:row>
    <x:row r="70" ht="16.5">
      <x:c r="A70"/>
      <x:c r="B70" s="11"/>
      <x:c r="C70" s="1"/>
      <x:c r="D70" s="19"/>
      <x:c r="E70" s="19"/>
      <x:c r="F70" s="12"/>
      <x:c r="G70" s="13"/>
      <x:c r="H70" s="1"/>
      <x:c r="I70" s="1"/>
      <x:c r="J70" s="1"/>
      <x:c r="K70" s="1"/>
      <x:c r="L70" s="1"/>
      <x:c r="M70" s="1"/>
      <x:c r="N70" s="1"/>
      <x:c r="O70" s="1"/>
      <x:c r="P70" s="1"/>
    </x:row>
    <x:row r="71" ht="16.5">
      <x:c r="A71"/>
      <x:c r="B71" s="11"/>
      <x:c r="C71" s="1"/>
      <x:c r="D71" s="19"/>
      <x:c r="E71" s="19"/>
      <x:c r="F71" s="12"/>
      <x:c r="G71" s="13"/>
      <x:c r="H71" s="1"/>
      <x:c r="I71" s="1"/>
      <x:c r="J71" s="1"/>
      <x:c r="K71" s="1"/>
      <x:c r="L71" s="1"/>
      <x:c r="M71" s="1"/>
      <x:c r="N71" s="1"/>
      <x:c r="O71" s="1"/>
      <x:c r="P71" s="1"/>
    </x:row>
    <x:row r="72" ht="16.5">
      <x:c r="A72"/>
      <x:c r="B72" s="11"/>
      <x:c r="C72" s="1"/>
      <x:c r="D72" s="19"/>
      <x:c r="E72" s="19"/>
      <x:c r="F72" s="12"/>
      <x:c r="G72" s="13"/>
      <x:c r="H72" s="1"/>
      <x:c r="I72" s="1"/>
      <x:c r="J72" s="1"/>
      <x:c r="K72" s="1"/>
      <x:c r="L72" s="1"/>
      <x:c r="M72" s="1"/>
      <x:c r="N72" s="1"/>
      <x:c r="O72" s="1"/>
      <x:c r="P72" s="1"/>
    </x:row>
    <x:row r="73" ht="16.5">
      <x:c r="A73"/>
      <x:c r="B73" s="11"/>
      <x:c r="C73" s="1"/>
      <x:c r="D73" s="19"/>
      <x:c r="E73" s="19"/>
      <x:c r="F73" s="12"/>
      <x:c r="G73" s="13"/>
      <x:c r="H73" s="1"/>
      <x:c r="I73" s="1"/>
      <x:c r="J73" s="1"/>
      <x:c r="K73" s="1"/>
      <x:c r="L73" s="1"/>
      <x:c r="M73" s="1"/>
      <x:c r="N73" s="1"/>
      <x:c r="O73" s="1"/>
      <x:c r="P73" s="1"/>
    </x:row>
    <x:row r="74" ht="16.5">
      <x:c r="A74"/>
      <x:c r="B74" s="11"/>
      <x:c r="C74" s="1"/>
      <x:c r="D74" s="19"/>
      <x:c r="E74" s="19"/>
      <x:c r="F74" s="12"/>
      <x:c r="G74" s="13"/>
      <x:c r="H74" s="1"/>
      <x:c r="I74" s="1"/>
      <x:c r="J74" s="1"/>
      <x:c r="K74" s="1"/>
      <x:c r="L74" s="1"/>
      <x:c r="M74" s="1"/>
      <x:c r="N74" s="1"/>
      <x:c r="O74" s="1"/>
      <x:c r="P74" s="1"/>
    </x:row>
    <x:row r="75" ht="16.5">
      <x:c r="A75"/>
      <x:c r="B75" s="11"/>
      <x:c r="C75" s="1"/>
      <x:c r="D75" s="19"/>
      <x:c r="E75" s="19"/>
      <x:c r="F75" s="12"/>
      <x:c r="G75" s="13"/>
      <x:c r="H75" s="1"/>
      <x:c r="I75" s="1"/>
      <x:c r="J75" s="1"/>
      <x:c r="K75" s="1"/>
      <x:c r="L75" s="1"/>
      <x:c r="M75" s="1"/>
      <x:c r="N75" s="1"/>
      <x:c r="O75" s="1"/>
      <x:c r="P75" s="1"/>
    </x:row>
    <x:row r="76" ht="16.5">
      <x:c r="A76"/>
      <x:c r="B76" s="11"/>
      <x:c r="C76" s="1"/>
      <x:c r="D76" s="19"/>
      <x:c r="E76" s="19"/>
      <x:c r="F76" s="12"/>
      <x:c r="G76" s="13"/>
      <x:c r="H76" s="1"/>
      <x:c r="I76" s="1"/>
      <x:c r="J76" s="1"/>
      <x:c r="K76" s="1"/>
      <x:c r="L76" s="1"/>
      <x:c r="M76" s="1"/>
      <x:c r="N76" s="1"/>
      <x:c r="O76" s="1"/>
      <x:c r="P76" s="1"/>
    </x:row>
    <x:row r="77" ht="16.5">
      <x:c r="A77"/>
      <x:c r="B77" s="11"/>
      <x:c r="C77" s="1"/>
      <x:c r="D77" s="19"/>
      <x:c r="E77" s="19"/>
      <x:c r="F77" s="12"/>
      <x:c r="G77" s="13"/>
      <x:c r="H77" s="1"/>
      <x:c r="I77" s="1"/>
      <x:c r="J77" s="1"/>
      <x:c r="K77" s="1"/>
      <x:c r="L77" s="1"/>
      <x:c r="M77" s="1"/>
      <x:c r="N77" s="1"/>
      <x:c r="O77" s="1"/>
      <x:c r="P77" s="1"/>
    </x:row>
    <x:row r="78" ht="16.5">
      <x:c r="A78"/>
      <x:c r="B78" s="11"/>
      <x:c r="C78" s="1"/>
      <x:c r="D78" s="19"/>
      <x:c r="E78" s="19"/>
      <x:c r="F78" s="12"/>
      <x:c r="G78" s="13"/>
      <x:c r="H78" s="1"/>
      <x:c r="I78" s="1"/>
      <x:c r="J78" s="1"/>
      <x:c r="K78" s="1"/>
      <x:c r="L78" s="1"/>
      <x:c r="M78" s="1"/>
      <x:c r="N78" s="1"/>
      <x:c r="O78" s="1"/>
      <x:c r="P78" s="1"/>
    </x:row>
  </x:sheetData>
  <x:mergeCells>
    <x:mergeCell ref="D5:E5"/>
    <x:mergeCell ref="F5:G5"/>
    <x:mergeCell ref="I5:K5"/>
    <x:mergeCell ref="F40:G40"/>
  </x:mergeCells>
  <x:pageMargins left="0.7" right="0.7" top="0.75" bottom="0.75" header="0.3" footer="0.3"/>
  <x:drawing xmlns:r="http://schemas.openxmlformats.org/officeDocument/2006/relationships" r:id="R5b144e6aef104a6f"/>
</x:worksheet>
</file>

<file path=xl/worksheets/sheet19.xml><?xml version="1.0" encoding="utf-8"?>
<x:worksheet xmlns:x="http://schemas.openxmlformats.org/spreadsheetml/2006/main">
  <x:sheetPr>
    <x:tabColor rgb="FF0000FF"/>
  </x:sheetPr>
  <x:sheetFormatPr defaultRowHeight="15"/>
  <x:cols>
    <x:col min="1" max="1" width="13.42578125" style="14" customWidth="1"/>
    <x:col min="2" max="2" width="16.42578125" style="6" customWidth="1"/>
    <x:col min="3" max="3" width="19" customWidth="1"/>
    <x:col min="4" max="4" width="16.85546875" style="20" customWidth="1"/>
    <x:col min="5" max="5" width="22.140625" style="20" customWidth="1"/>
    <x:col min="6" max="6" width="29.5703125" customWidth="1"/>
    <x:col min="7" max="7" width="11.42578125" customWidth="1"/>
    <x:col min="8" max="8" width="13.140625" customWidth="1"/>
  </x:cols>
  <x:sheetData>
    <x:row r="1" ht="48" customHeight="1"/>
    <x:row r="2" ht="18">
      <x:c r="A2" s="16" t="str">
        <x:v>DAILY SALES  - AUGUST 2026 (THIRD PARD)</x:v>
      </x:c>
      <x:c r="B2" s="16"/>
      <x:c r="C2" s="16"/>
      <x:c r="D2" s="18"/>
      <x:c r="F2" s="20"/>
      <x:c r="G2" s="16"/>
      <x:c r="H2" s="16"/>
      <x:c r="I2" s="16"/>
      <x:c r="J2" s="16"/>
      <x:c r="K2" s="16"/>
      <x:c r="L2" s="16"/>
      <x:c r="M2" s="16"/>
      <x:c r="N2" s="16"/>
      <x:c r="O2" s="16"/>
    </x:row>
    <x:row r="3" ht="18">
      <x:c r="B3" s="24"/>
      <x:c r="C3" s="24"/>
      <x:c r="D3" s="18"/>
      <x:c r="E3" s="18"/>
      <x:c r="F3" s="24"/>
      <x:c r="G3" s="24"/>
      <x:c r="H3" s="24"/>
      <x:c r="I3" s="24"/>
      <x:c r="J3" s="24"/>
      <x:c r="K3" s="24"/>
      <x:c r="L3" s="24"/>
      <x:c r="M3" s="24"/>
      <x:c r="N3" s="24"/>
      <x:c r="O3" s="24"/>
    </x:row>
    <x:row r="4" ht="16.5">
      <x:c r="B4" s="11"/>
      <x:c r="C4" s="1"/>
      <x:c r="D4" s="19"/>
      <x:c r="E4" s="19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16.5">
      <x:c r="A5" s="21" t="s">
        <x:v>21</x:v>
      </x:c>
      <x:c r="B5" s="22" t="s">
        <x:v>22</x:v>
      </x:c>
      <x:c r="C5" s="106" t="s">
        <x:v>31</x:v>
      </x:c>
      <x:c r="D5" s="106" t="s">
        <x:v>32</x:v>
      </x:c>
      <x:c r="E5" s="106" t="s">
        <x:v>33</x:v>
      </x:c>
      <x:c r="F5" s="2"/>
      <x:c r="G5" s="135" t="s">
        <x:v>26</x:v>
      </x:c>
      <x:c r="H5" s="135"/>
      <x:c r="I5" s="135"/>
      <x:c r="N5" s="1"/>
      <x:c r="O5" s="1"/>
    </x:row>
    <x:row r="6" ht="16.5">
      <x:c r="A6" s="21"/>
      <x:c r="B6" s="22"/>
      <x:c r="C6" s="23"/>
      <x:c r="D6" s="69"/>
      <x:c r="E6" s="69" t="s">
        <x:v>39</x:v>
      </x:c>
      <x:c r="F6" s="2"/>
      <x:c r="G6" s="17"/>
      <x:c r="H6" s="17"/>
      <x:c r="I6" s="17"/>
      <x:c r="N6" s="1"/>
      <x:c r="O6" s="1"/>
    </x:row>
    <x:row r="7" ht="16.5">
      <x:c r="A7" s="15"/>
      <x:c r="B7" s="7"/>
      <x:c r="C7" s="5"/>
      <x:c r="D7" s="70"/>
      <x:c r="E7" s="70" t="s">
        <x:v>40</x:v>
      </x:c>
      <x:c r="F7" s="2"/>
      <x:c r="G7" s="3" t="str">
        <x:f>C5</x:f>
        <x:v>Kitwe</x:v>
      </x:c>
      <x:c r="H7" s="10" t="str">
        <x:f>C5</x:f>
        <x:v>Kitwe</x:v>
      </x:c>
      <x:c r="I7" s="4" t="str">
        <x:f>IF(C39="","",C39)</x:f>
      </x:c>
      <x:c r="J7" t="str">
        <x:f>IFERROR($C$39/$B$39,"")</x:f>
      </x:c>
      <x:c r="N7" s="1"/>
      <x:c r="O7" s="1"/>
    </x:row>
    <x:row r="8" ht="16.5">
      <x:c r="A8" s="171" t="n">
        <x:v>46235</x:v>
      </x:c>
      <x:c r="B8" s="52" t="str">
        <x:f t="shared" ref="B8:B38" si="0">IF(SUM(C8:F8)=0,"",SUM(C8:F8))</x:f>
      </x:c>
      <x:c r="C8" s="53"/>
      <x:c r="D8" s="54"/>
      <x:c r="E8" s="54"/>
      <x:c r="F8" s="1"/>
      <x:c r="G8" s="3" t="str">
        <x:f>D5</x:f>
        <x:v>Eldo</x:v>
      </x:c>
      <x:c r="H8" s="10" t="str">
        <x:f>D5</x:f>
        <x:v>Eldo</x:v>
      </x:c>
      <x:c r="I8" s="4" t="str">
        <x:f>IF(D39="","",D39)</x:f>
      </x:c>
      <x:c r="J8" t="str">
        <x:f>IFERROR($D$39/$B$39,"")</x:f>
      </x:c>
      <x:c r="N8" s="1"/>
      <x:c r="O8" s="1"/>
    </x:row>
    <x:row r="9" ht="16.5">
      <x:c r="A9" s="171" t="n">
        <x:v>46236</x:v>
      </x:c>
      <x:c r="B9" s="52" t="str">
        <x:f t="shared" si="0">IF(SUM(C9:F9)=0,"",SUM(C9:F9))</x:f>
      </x:c>
      <x:c r="C9" s="53"/>
      <x:c r="D9" s="54"/>
      <x:c r="E9" s="54"/>
      <x:c r="F9" s="1"/>
      <x:c r="G9" s="3" t="str">
        <x:f>E5</x:f>
        <x:v>Clubview</x:v>
      </x:c>
      <x:c r="H9" s="10" t="n">
        <x:f>F5</x:f>
        <x:v>0</x:v>
      </x:c>
      <x:c r="I9" s="4" t="str">
        <x:f>IF(F39="","",F39)</x:f>
      </x:c>
      <x:c r="J9" t="str">
        <x:f>IFERROR($F$39/$B$39,"")</x:f>
      </x:c>
      <x:c r="N9" s="1"/>
      <x:c r="O9" s="1"/>
    </x:row>
    <x:row r="10" ht="16.5">
      <x:c r="A10" s="171" t="n">
        <x:v>46237</x:v>
      </x:c>
      <x:c r="B10" s="52" t="str">
        <x:f t="shared" si="0">IF(SUM(C10:F10)=0,"",SUM(C10:F10))</x:f>
      </x:c>
      <x:c r="C10" s="53"/>
      <x:c r="D10" s="54"/>
      <x:c r="E10" s="54"/>
      <x:c r="F10" s="1"/>
      <x:c r="G10" s="39"/>
      <x:c r="H10" s="40"/>
      <x:c r="I10" s="41" t="str">
        <x:f>IF(SUM(I7:I9)=0,"",SUM(I7:I9))</x:f>
      </x:c>
      <x:c r="J10" s="1" t="str">
        <x:f>IF(SUM(J7:J9)=0,"",SUM(J7:J9))</x:f>
      </x:c>
      <x:c r="K10" s="1"/>
      <x:c r="L10" s="1"/>
      <x:c r="M10" s="1"/>
      <x:c r="N10" s="1"/>
      <x:c r="O10" s="1"/>
    </x:row>
    <x:row r="11" ht="16.5">
      <x:c r="A11" s="171" t="n">
        <x:v>46238</x:v>
      </x:c>
      <x:c r="B11" s="52" t="str">
        <x:f t="shared" si="0">IF(SUM(C11:F11)=0,"",SUM(C11:F11))</x:f>
      </x:c>
      <x:c r="C11" s="53"/>
      <x:c r="D11" s="54"/>
      <x:c r="E11" s="54"/>
      <x:c r="F11" s="1"/>
      <x:c r="G11" s="1"/>
      <x:c r="H11" s="38"/>
      <x:c r="I11" s="30"/>
      <x:c r="J11" s="1"/>
      <x:c r="K11" s="1"/>
      <x:c r="L11" s="1"/>
      <x:c r="M11" s="1"/>
      <x:c r="N11" s="1"/>
      <x:c r="O11" s="1"/>
    </x:row>
    <x:row r="12" ht="16.5">
      <x:c r="A12" s="171" t="n">
        <x:v>46239</x:v>
      </x:c>
      <x:c r="B12" s="52" t="str">
        <x:f t="shared" si="0">IF(SUM(C12:F12)=0,"",SUM(C12:F12))</x:f>
      </x:c>
      <x:c r="C12" s="53"/>
      <x:c r="D12" s="54"/>
      <x:c r="E12" s="54"/>
      <x:c r="F12" s="1"/>
      <x:c r="G12" s="1"/>
      <x:c r="H12" s="38"/>
      <x:c r="I12" s="30"/>
      <x:c r="J12" s="1"/>
      <x:c r="K12" s="1"/>
      <x:c r="L12" s="1"/>
      <x:c r="M12" s="1"/>
      <x:c r="N12" s="1"/>
      <x:c r="O12" s="1"/>
    </x:row>
    <x:row r="13" ht="16.5">
      <x:c r="A13" s="171" t="n">
        <x:v>46240</x:v>
      </x:c>
      <x:c r="B13" s="52" t="str">
        <x:f t="shared" si="0">IF(SUM(C13:F13)=0,"",SUM(C13:F13))</x:f>
      </x:c>
      <x:c r="C13" s="53"/>
      <x:c r="D13" s="54"/>
      <x:c r="E13" s="54"/>
      <x:c r="F13" s="1"/>
      <x:c r="G13" s="1"/>
      <x:c r="H13" s="1"/>
      <x:c r="I13" s="1"/>
      <x:c r="J13" s="1"/>
      <x:c r="K13" s="1"/>
      <x:c r="L13" s="1"/>
      <x:c r="M13" s="1"/>
      <x:c r="N13" s="1"/>
      <x:c r="O13" s="1"/>
    </x:row>
    <x:row r="14" ht="16.5">
      <x:c r="A14" s="171" t="n">
        <x:v>46241</x:v>
      </x:c>
      <x:c r="B14" s="52" t="str">
        <x:f t="shared" si="0">IF(SUM(C14:F14)=0,"",SUM(C14:F14))</x:f>
      </x:c>
      <x:c r="C14" s="53"/>
      <x:c r="D14" s="54"/>
      <x:c r="E14" s="54"/>
      <x:c r="F14" s="1"/>
      <x:c r="G14" s="1"/>
      <x:c r="H14" s="27"/>
      <x:c r="I14" s="28"/>
      <x:c r="J14" s="1"/>
      <x:c r="K14" s="1"/>
      <x:c r="L14" s="1"/>
      <x:c r="M14" s="1"/>
      <x:c r="N14" s="1"/>
      <x:c r="O14" s="1"/>
    </x:row>
    <x:row r="15" ht="16.5">
      <x:c r="A15" s="171" t="n">
        <x:v>46242</x:v>
      </x:c>
      <x:c r="B15" s="52" t="str">
        <x:f t="shared" si="0">IF(SUM(C15:F15)=0,"",SUM(C15:F15))</x:f>
      </x:c>
      <x:c r="C15" s="53"/>
      <x:c r="D15" s="54"/>
      <x:c r="E15" s="54"/>
      <x:c r="F15" s="1"/>
      <x:c r="G15" s="1"/>
      <x:c r="H15" s="1"/>
      <x:c r="I15" s="1"/>
      <x:c r="J15" s="1"/>
      <x:c r="K15" s="1"/>
      <x:c r="L15" s="1"/>
      <x:c r="M15" s="1"/>
      <x:c r="N15" s="1"/>
      <x:c r="O15" s="1"/>
    </x:row>
    <x:row r="16" ht="16.5">
      <x:c r="A16" s="171" t="n">
        <x:v>46243</x:v>
      </x:c>
      <x:c r="B16" s="52" t="str">
        <x:f t="shared" si="0">IF(SUM(C16:F16)=0,"",SUM(C16:F16))</x:f>
      </x:c>
      <x:c r="C16" s="53"/>
      <x:c r="D16" s="54"/>
      <x:c r="E16" s="54"/>
      <x:c r="F16" s="1"/>
      <x:c r="G16" s="1"/>
      <x:c r="H16" s="1"/>
      <x:c r="I16" s="1"/>
      <x:c r="J16" s="1"/>
      <x:c r="K16" s="1"/>
      <x:c r="L16" s="1"/>
      <x:c r="M16" s="1"/>
      <x:c r="N16" s="1"/>
      <x:c r="O16" s="1"/>
    </x:row>
    <x:row r="17" ht="16.5">
      <x:c r="A17" s="171" t="n">
        <x:v>46244</x:v>
      </x:c>
      <x:c r="B17" s="52" t="str">
        <x:f t="shared" si="0">IF(SUM(C17:F17)=0,"",SUM(C17:F17))</x:f>
      </x:c>
      <x:c r="C17" s="53"/>
      <x:c r="D17" s="54"/>
      <x:c r="E17" s="54"/>
      <x:c r="F17" s="1"/>
      <x:c r="G17" s="1"/>
      <x:c r="H17" s="1"/>
      <x:c r="I17" s="1"/>
      <x:c r="J17" s="1"/>
      <x:c r="K17" s="1"/>
      <x:c r="L17" s="1"/>
      <x:c r="M17" s="1"/>
      <x:c r="N17" s="1"/>
      <x:c r="O17" s="1"/>
    </x:row>
    <x:row r="18" ht="16.5">
      <x:c r="A18" s="171" t="n">
        <x:v>46245</x:v>
      </x:c>
      <x:c r="B18" s="52" t="str">
        <x:f t="shared" si="0">IF(SUM(C18:F18)=0,"",SUM(C18:F18))</x:f>
      </x:c>
      <x:c r="C18" s="53"/>
      <x:c r="D18" s="54"/>
      <x:c r="E18" s="54"/>
      <x:c r="F18" s="1"/>
      <x:c r="G18" s="1"/>
      <x:c r="H18" s="1"/>
      <x:c r="I18" s="1"/>
      <x:c r="J18" s="1"/>
      <x:c r="K18" s="1"/>
      <x:c r="L18" s="1"/>
      <x:c r="M18" s="1"/>
      <x:c r="N18" s="1"/>
      <x:c r="O18" s="1"/>
    </x:row>
    <x:row r="19" ht="16.5">
      <x:c r="A19" s="171" t="n">
        <x:v>46246</x:v>
      </x:c>
      <x:c r="B19" s="52" t="str">
        <x:f t="shared" si="0">IF(SUM(C19:F19)=0,"",SUM(C19:F19))</x:f>
      </x:c>
      <x:c r="C19" s="53"/>
      <x:c r="D19" s="54"/>
      <x:c r="E19" s="54"/>
      <x:c r="F19" s="1"/>
      <x:c r="G19" s="1"/>
      <x:c r="H19" s="1"/>
      <x:c r="I19" s="1"/>
      <x:c r="J19" s="1"/>
      <x:c r="K19" s="1"/>
      <x:c r="L19" s="1"/>
      <x:c r="M19" s="1"/>
      <x:c r="N19" s="1"/>
      <x:c r="O19" s="1"/>
    </x:row>
    <x:row r="20" ht="16.5">
      <x:c r="A20" s="171" t="n">
        <x:v>46247</x:v>
      </x:c>
      <x:c r="B20" s="52" t="str">
        <x:f t="shared" si="0">IF(SUM(C20:F20)=0,"",SUM(C20:F20))</x:f>
      </x:c>
      <x:c r="C20" s="53"/>
      <x:c r="D20" s="54"/>
      <x:c r="E20" s="54"/>
      <x:c r="F20" s="1"/>
      <x:c r="G20" s="1"/>
      <x:c r="H20" s="1"/>
      <x:c r="I20" s="1"/>
      <x:c r="J20" s="1"/>
      <x:c r="K20" s="1"/>
      <x:c r="L20" s="1"/>
      <x:c r="M20" s="1"/>
      <x:c r="N20" s="1"/>
      <x:c r="O20" s="1"/>
    </x:row>
    <x:row r="21" ht="16.5">
      <x:c r="A21" s="171" t="n">
        <x:v>46248</x:v>
      </x:c>
      <x:c r="B21" s="52" t="str">
        <x:f t="shared" si="0">IF(SUM(C21:F21)=0,"",SUM(C21:F21))</x:f>
      </x:c>
      <x:c r="C21" s="53"/>
      <x:c r="D21" s="54"/>
      <x:c r="E21" s="54"/>
      <x:c r="F21" s="1"/>
      <x:c r="G21" s="1"/>
      <x:c r="H21" s="1"/>
      <x:c r="I21" s="1"/>
      <x:c r="J21" s="1"/>
      <x:c r="K21" s="1"/>
      <x:c r="L21" s="1"/>
      <x:c r="M21" s="1"/>
      <x:c r="N21" s="1"/>
      <x:c r="O21" s="1"/>
    </x:row>
    <x:row r="22" ht="16.5">
      <x:c r="A22" s="171" t="n">
        <x:v>46249</x:v>
      </x:c>
      <x:c r="B22" s="52" t="str">
        <x:f t="shared" si="0">IF(SUM(C22:F22)=0,"",SUM(C22:F22))</x:f>
      </x:c>
      <x:c r="C22" s="53"/>
      <x:c r="D22" s="54"/>
      <x:c r="E22" s="54"/>
      <x:c r="F22" s="1"/>
      <x:c r="G22" s="1"/>
      <x:c r="H22" s="1"/>
      <x:c r="I22" s="1"/>
      <x:c r="J22" s="1"/>
      <x:c r="K22" s="1"/>
      <x:c r="L22" s="1"/>
      <x:c r="M22" s="1"/>
      <x:c r="N22" s="1"/>
      <x:c r="O22" s="1"/>
    </x:row>
    <x:row r="23" ht="16.5">
      <x:c r="A23" s="171" t="n">
        <x:v>46250</x:v>
      </x:c>
      <x:c r="B23" s="52" t="str">
        <x:f t="shared" si="0">IF(SUM(C23:F23)=0,"",SUM(C23:F23))</x:f>
      </x:c>
      <x:c r="C23" s="53"/>
      <x:c r="D23" s="54"/>
      <x:c r="E23" s="54"/>
      <x:c r="F23" s="1"/>
      <x:c r="G23" s="1"/>
      <x:c r="H23" s="1"/>
      <x:c r="I23" s="1"/>
      <x:c r="J23" s="1"/>
      <x:c r="K23" s="1"/>
      <x:c r="L23" s="1"/>
      <x:c r="M23" s="1"/>
      <x:c r="N23" s="1"/>
      <x:c r="O23" s="1"/>
    </x:row>
    <x:row r="24" ht="16.5">
      <x:c r="A24" s="171" t="n">
        <x:v>46251</x:v>
      </x:c>
      <x:c r="B24" s="52" t="str">
        <x:f t="shared" si="0">IF(SUM(C24:F24)=0,"",SUM(C24:F24))</x:f>
      </x:c>
      <x:c r="C24" s="53"/>
      <x:c r="D24" s="54"/>
      <x:c r="E24" s="54"/>
      <x:c r="F24" s="1"/>
      <x:c r="G24" s="1"/>
      <x:c r="H24" s="1"/>
      <x:c r="I24" s="1"/>
      <x:c r="J24" s="1"/>
      <x:c r="K24" s="1"/>
      <x:c r="L24" s="1"/>
      <x:c r="M24" s="1"/>
      <x:c r="N24" s="1"/>
      <x:c r="O24" s="1"/>
    </x:row>
    <x:row r="25" ht="16.5">
      <x:c r="A25" s="171" t="n">
        <x:v>46252</x:v>
      </x:c>
      <x:c r="B25" s="52" t="str">
        <x:f t="shared" si="0">IF(SUM(C25:F25)=0,"",SUM(C25:F25))</x:f>
      </x:c>
      <x:c r="C25" s="53"/>
      <x:c r="D25" s="54"/>
      <x:c r="E25" s="54"/>
      <x:c r="F25" s="1"/>
      <x:c r="G25" s="34"/>
      <x:c r="H25" s="34"/>
      <x:c r="I25" s="34"/>
      <x:c r="J25" s="1"/>
      <x:c r="K25" s="1"/>
      <x:c r="L25" s="1"/>
      <x:c r="M25" s="1"/>
      <x:c r="N25" s="1"/>
      <x:c r="O25" s="1"/>
    </x:row>
    <x:row r="26" ht="16.5">
      <x:c r="A26" s="171" t="n">
        <x:v>46253</x:v>
      </x:c>
      <x:c r="B26" s="52" t="str">
        <x:f t="shared" si="0">IF(SUM(C26:F26)=0,"",SUM(C26:F26))</x:f>
      </x:c>
      <x:c r="C26" s="53"/>
      <x:c r="D26" s="54"/>
      <x:c r="E26" s="54"/>
      <x:c r="F26" s="1"/>
      <x:c r="G26" s="33"/>
      <x:c r="H26" s="33"/>
      <x:c r="I26" s="33"/>
      <x:c r="J26" s="1"/>
      <x:c r="K26" s="1"/>
      <x:c r="L26" s="1"/>
      <x:c r="M26" s="1"/>
      <x:c r="N26" s="1"/>
      <x:c r="O26" s="1"/>
    </x:row>
    <x:row r="27" ht="16.5">
      <x:c r="A27" s="171" t="n">
        <x:v>46254</x:v>
      </x:c>
      <x:c r="B27" s="52" t="str">
        <x:f t="shared" si="0">IF(SUM(C27:F27)=0,"",SUM(C27:F27))</x:f>
      </x:c>
      <x:c r="C27" s="53"/>
      <x:c r="D27" s="54"/>
      <x:c r="E27" s="54"/>
      <x:c r="F27" s="1"/>
      <x:c r="G27" s="34"/>
      <x:c r="H27" s="35"/>
      <x:c r="I27" s="36"/>
      <x:c r="J27" s="1"/>
      <x:c r="K27" s="1"/>
      <x:c r="L27" s="1"/>
      <x:c r="M27" s="1"/>
      <x:c r="N27" s="1"/>
      <x:c r="O27" s="1"/>
    </x:row>
    <x:row r="28" ht="16.5">
      <x:c r="A28" s="171" t="n">
        <x:v>46255</x:v>
      </x:c>
      <x:c r="B28" s="52" t="str">
        <x:f t="shared" si="0">IF(SUM(C28:F28)=0,"",SUM(C28:F28))</x:f>
      </x:c>
      <x:c r="C28" s="53"/>
      <x:c r="D28" s="54"/>
      <x:c r="E28" s="54"/>
      <x:c r="F28" s="1"/>
      <x:c r="G28" s="34"/>
      <x:c r="H28" s="37"/>
      <x:c r="I28" s="36"/>
      <x:c r="J28" s="1"/>
      <x:c r="K28" s="1"/>
      <x:c r="L28" s="1"/>
      <x:c r="M28" s="1"/>
      <x:c r="N28" s="1"/>
      <x:c r="O28" s="1"/>
    </x:row>
    <x:row r="29" ht="16.5">
      <x:c r="A29" s="171" t="n">
        <x:v>46256</x:v>
      </x:c>
      <x:c r="B29" s="52" t="str">
        <x:f t="shared" si="0">IF(SUM(C29:F29)=0,"",SUM(C29:F29))</x:f>
      </x:c>
      <x:c r="C29" s="55"/>
      <x:c r="D29" s="56"/>
      <x:c r="E29" s="56"/>
      <x:c r="F29" s="1"/>
      <x:c r="G29" s="1"/>
      <x:c r="H29" s="29"/>
      <x:c r="I29" s="30"/>
      <x:c r="J29" s="1"/>
      <x:c r="K29" s="1"/>
      <x:c r="L29" s="1"/>
      <x:c r="M29" s="1"/>
      <x:c r="N29" s="1"/>
      <x:c r="O29" s="1"/>
    </x:row>
    <x:row r="30" ht="16.5">
      <x:c r="A30" s="171" t="n">
        <x:v>46257</x:v>
      </x:c>
      <x:c r="B30" s="52" t="str">
        <x:f t="shared" si="0">IF(SUM(C30:F30)=0,"",SUM(C30:F30))</x:f>
      </x:c>
      <x:c r="C30" s="53"/>
      <x:c r="D30" s="54"/>
      <x:c r="E30" s="54"/>
      <x:c r="F30" s="1"/>
      <x:c r="G30" s="1"/>
      <x:c r="H30" s="31"/>
      <x:c r="I30" s="30"/>
      <x:c r="J30" s="1"/>
      <x:c r="K30" s="1"/>
      <x:c r="L30" s="1"/>
      <x:c r="M30" s="1"/>
      <x:c r="N30" s="1"/>
      <x:c r="O30" s="1"/>
    </x:row>
    <x:row r="31" ht="16.5">
      <x:c r="A31" s="171" t="n">
        <x:v>46258</x:v>
      </x:c>
      <x:c r="B31" s="52" t="str">
        <x:f t="shared" si="0">IF(SUM(C31:F31)=0,"",SUM(C31:F31))</x:f>
      </x:c>
      <x:c r="C31" s="53"/>
      <x:c r="D31" s="54"/>
      <x:c r="E31" s="54"/>
      <x:c r="F31" s="1"/>
      <x:c r="G31" s="1"/>
      <x:c r="H31" s="29"/>
      <x:c r="I31" s="30"/>
      <x:c r="J31" s="1"/>
      <x:c r="K31" s="1"/>
      <x:c r="L31" s="1"/>
      <x:c r="M31" s="1"/>
      <x:c r="N31" s="1"/>
      <x:c r="O31" s="1"/>
    </x:row>
    <x:row r="32" ht="16.5">
      <x:c r="A32" s="171" t="n">
        <x:v>46259</x:v>
      </x:c>
      <x:c r="B32" s="52" t="str">
        <x:f t="shared" si="0">IF(SUM(C32:F32)=0,"",SUM(C32:F32))</x:f>
      </x:c>
      <x:c r="C32" s="53"/>
      <x:c r="D32" s="54"/>
      <x:c r="E32" s="54"/>
      <x:c r="F32" s="1"/>
      <x:c r="G32" s="1"/>
      <x:c r="H32" s="31"/>
      <x:c r="I32" s="30"/>
      <x:c r="J32" s="1"/>
      <x:c r="K32" s="1"/>
      <x:c r="L32" s="1"/>
      <x:c r="M32" s="1"/>
      <x:c r="N32" s="1"/>
      <x:c r="O32" s="1"/>
    </x:row>
    <x:row r="33" ht="16.5">
      <x:c r="A33" s="171" t="n">
        <x:v>46260</x:v>
      </x:c>
      <x:c r="B33" s="52" t="str">
        <x:f t="shared" si="0">IF(SUM(C33:F33)=0,"",SUM(C33:F33))</x:f>
      </x:c>
      <x:c r="C33" s="53"/>
      <x:c r="D33" s="54"/>
      <x:c r="E33" s="54"/>
      <x:c r="F33" s="1"/>
      <x:c r="G33" s="1"/>
      <x:c r="H33" s="32"/>
      <x:c r="I33" s="30"/>
      <x:c r="J33" s="1"/>
      <x:c r="K33" s="1"/>
      <x:c r="L33" s="1"/>
      <x:c r="M33" s="1"/>
      <x:c r="N33" s="1"/>
      <x:c r="O33" s="1"/>
    </x:row>
    <x:row r="34" ht="16.5">
      <x:c r="A34" s="171" t="n">
        <x:v>46261</x:v>
      </x:c>
      <x:c r="B34" s="52" t="str">
        <x:f t="shared" si="0">IF(SUM(C34:F34)=0,"",SUM(C34:F34))</x:f>
      </x:c>
      <x:c r="C34" s="53"/>
      <x:c r="D34" s="54"/>
      <x:c r="E34" s="54"/>
      <x:c r="F34" s="1"/>
      <x:c r="G34" s="1"/>
      <x:c r="H34" s="1"/>
      <x:c r="I34" s="1"/>
      <x:c r="J34" s="1"/>
      <x:c r="K34" s="1"/>
      <x:c r="L34" s="1"/>
      <x:c r="M34" s="1"/>
      <x:c r="N34" s="1"/>
      <x:c r="O34" s="1"/>
    </x:row>
    <x:row r="35" ht="16.5">
      <x:c r="A35" s="171" t="n">
        <x:v>46262</x:v>
      </x:c>
      <x:c r="B35" s="52" t="str">
        <x:f t="shared" si="0">IF(SUM(C35:F35)=0,"",SUM(C35:F35))</x:f>
      </x:c>
      <x:c r="C35" s="53"/>
      <x:c r="D35" s="54"/>
      <x:c r="E35" s="54"/>
      <x:c r="F35" s="1"/>
      <x:c r="G35" s="1"/>
      <x:c r="H35" s="1"/>
      <x:c r="I35" s="1"/>
      <x:c r="J35" s="1"/>
      <x:c r="K35" s="1"/>
      <x:c r="L35" s="1"/>
      <x:c r="M35" s="1"/>
      <x:c r="N35" s="1"/>
      <x:c r="O35" s="1"/>
    </x:row>
    <x:row r="36" ht="16.5">
      <x:c r="A36" s="171" t="n">
        <x:v>46263</x:v>
      </x:c>
      <x:c r="B36" s="52" t="str">
        <x:f t="shared" si="0">IF(SUM(C36:F36)=0,"",SUM(C36:F36))</x:f>
      </x:c>
      <x:c r="C36" s="53"/>
      <x:c r="D36" s="54"/>
      <x:c r="E36" s="54"/>
      <x:c r="F36" s="1"/>
      <x:c r="G36" s="1"/>
      <x:c r="H36" s="1"/>
      <x:c r="I36" s="1"/>
      <x:c r="J36" s="1"/>
      <x:c r="K36" s="1"/>
      <x:c r="L36" s="1"/>
      <x:c r="M36" s="1"/>
      <x:c r="N36" s="1"/>
      <x:c r="O36" s="1"/>
    </x:row>
    <x:row r="37" ht="16.5">
      <x:c r="A37" s="171" t="n">
        <x:v>46264</x:v>
      </x:c>
      <x:c r="B37" s="52" t="str">
        <x:f t="shared" si="0">IF(SUM(C37:F37)=0,"",SUM(C37:F37))</x:f>
      </x:c>
      <x:c r="C37" s="53"/>
      <x:c r="D37" s="54"/>
      <x:c r="E37" s="54"/>
      <x:c r="F37" s="1"/>
      <x:c r="G37" s="1"/>
      <x:c r="H37" s="1"/>
      <x:c r="I37" s="1"/>
      <x:c r="J37" s="1"/>
      <x:c r="K37" s="1"/>
      <x:c r="L37" s="1"/>
      <x:c r="M37" s="1"/>
      <x:c r="N37" s="1"/>
      <x:c r="O37" s="1"/>
    </x:row>
    <x:row r="38" ht="16.5">
      <x:c r="A38" s="171" t="n">
        <x:v>46265</x:v>
      </x:c>
      <x:c r="B38" s="52" t="str">
        <x:f t="shared" si="0">IF(SUM(C38:F38)=0,"",SUM(C38:F38))</x:f>
      </x:c>
      <x:c r="C38" s="53"/>
      <x:c r="D38" s="54"/>
      <x:c r="E38" s="54"/>
      <x:c r="F38" s="1"/>
      <x:c r="G38" s="1"/>
      <x:c r="H38" s="1"/>
      <x:c r="I38" s="1"/>
      <x:c r="J38" s="1"/>
      <x:c r="K38" s="1"/>
      <x:c r="L38" s="1"/>
      <x:c r="M38" s="1"/>
      <x:c r="N38" s="1"/>
      <x:c r="O38" s="1"/>
    </x:row>
    <x:row r="39" ht="16.5">
      <x:c r="A39" s="51"/>
      <x:c r="B39" s="57" t="str">
        <x:f>IF(SUM(B8:B38)=0,"",SUM(B8:B38))</x:f>
      </x:c>
      <x:c r="C39" s="58" t="str">
        <x:f>IF(SUM(C8:C38)=0,"",SUM(C8:C38))</x:f>
      </x:c>
      <x:c r="D39" s="59" t="str">
        <x:f>IF(SUM(D8:D38)=0,"",SUM(D8:D38))</x:f>
      </x:c>
      <x:c r="E39" s="59" t="str">
        <x:f>IF(SUM(E8:E38)=0,"",SUM(E8:E38))</x:f>
      </x:c>
      <x:c r="F39" s="1" t="str">
        <x:f>IF(SUM(F8:F38)=0,"",SUM(F8:F38))</x:f>
      </x:c>
      <x:c r="G39" s="1"/>
      <x:c r="H39" s="1"/>
      <x:c r="I39" s="1"/>
      <x:c r="J39" s="1"/>
      <x:c r="K39" s="1"/>
      <x:c r="L39" s="1"/>
      <x:c r="M39" s="1"/>
      <x:c r="N39" s="1"/>
      <x:c r="O39" s="1"/>
    </x:row>
    <x:row r="40" ht="16.5">
      <x:c r="B40" s="11"/>
      <x:c r="C40" s="1"/>
      <x:c r="D40" s="19"/>
      <x:c r="E40" s="19"/>
      <x:c r="F40" s="1"/>
      <x:c r="G40" s="1"/>
      <x:c r="H40" s="1"/>
      <x:c r="I40" s="1"/>
      <x:c r="J40" s="1"/>
      <x:c r="K40" s="1"/>
      <x:c r="L40" s="1"/>
      <x:c r="M40" s="1"/>
      <x:c r="N40" s="1"/>
      <x:c r="O40" s="1"/>
    </x:row>
    <x:row r="41" ht="16.5">
      <x:c r="B41" s="11"/>
      <x:c r="C41" s="1"/>
      <x:c r="D41" s="19"/>
      <x:c r="E41" s="19"/>
      <x:c r="F41" s="1"/>
      <x:c r="G41" s="1"/>
      <x:c r="H41" s="1"/>
      <x:c r="I41" s="1"/>
      <x:c r="J41" s="1"/>
      <x:c r="K41" s="1"/>
      <x:c r="L41" s="1"/>
      <x:c r="M41" s="1"/>
      <x:c r="N41" s="1"/>
      <x:c r="O41" s="1"/>
    </x:row>
    <x:row r="42" ht="16.5">
      <x:c r="B42" s="11"/>
      <x:c r="C42" s="27"/>
      <x:c r="D42" s="19"/>
      <x:c r="E42" s="19"/>
      <x:c r="F42" s="1"/>
      <x:c r="G42" s="1"/>
      <x:c r="H42" s="1"/>
      <x:c r="I42" s="1"/>
      <x:c r="J42" s="1"/>
      <x:c r="K42" s="1"/>
      <x:c r="L42" s="1"/>
      <x:c r="M42" s="1"/>
      <x:c r="N42" s="1"/>
      <x:c r="O42" s="1"/>
    </x:row>
    <x:row r="43" ht="16.5">
      <x:c r="B43" s="11"/>
      <x:c r="C43" s="27"/>
      <x:c r="D43" s="19"/>
      <x:c r="E43" s="19"/>
      <x:c r="F43" s="1"/>
      <x:c r="G43" s="1"/>
      <x:c r="H43" s="1"/>
      <x:c r="I43" s="1"/>
      <x:c r="J43" s="1"/>
      <x:c r="K43" s="1"/>
      <x:c r="L43" s="1"/>
      <x:c r="M43" s="1"/>
      <x:c r="N43" s="1"/>
      <x:c r="O43" s="1"/>
    </x:row>
    <x:row r="44" ht="16.5">
      <x:c r="B44" s="11"/>
      <x:c r="C44" s="27"/>
      <x:c r="D44" s="19"/>
      <x:c r="E44" s="19"/>
      <x:c r="F44" s="1"/>
      <x:c r="G44" s="1"/>
      <x:c r="H44" s="1"/>
      <x:c r="I44" s="1"/>
      <x:c r="J44" s="1"/>
      <x:c r="K44" s="1"/>
      <x:c r="L44" s="1"/>
      <x:c r="M44" s="1"/>
      <x:c r="N44" s="1"/>
      <x:c r="O44" s="1"/>
    </x:row>
    <x:row r="45" ht="16.5">
      <x:c r="B45" s="11"/>
      <x:c r="C45" s="1"/>
      <x:c r="D45" s="19"/>
      <x:c r="E45" s="19"/>
      <x:c r="F45" s="1"/>
      <x:c r="G45" s="1"/>
      <x:c r="H45" s="1"/>
      <x:c r="I45" s="1"/>
      <x:c r="J45" s="1"/>
      <x:c r="K45" s="1"/>
      <x:c r="L45" s="1"/>
      <x:c r="M45" s="1"/>
      <x:c r="N45" s="1"/>
      <x:c r="O45" s="1"/>
    </x:row>
    <x:row r="46" ht="16.5">
      <x:c r="B46" s="11"/>
      <x:c r="C46" s="1"/>
      <x:c r="D46" s="19"/>
      <x:c r="E46" s="19"/>
      <x:c r="F46" s="1"/>
      <x:c r="G46" s="1"/>
      <x:c r="H46" s="1"/>
      <x:c r="I46" s="1"/>
      <x:c r="J46" s="1"/>
      <x:c r="K46" s="1"/>
      <x:c r="L46" s="1"/>
      <x:c r="M46" s="1"/>
      <x:c r="N46" s="1"/>
      <x:c r="O46" s="1"/>
    </x:row>
    <x:row r="47" ht="16.5">
      <x:c r="B47" s="11"/>
      <x:c r="C47" s="1"/>
      <x:c r="D47" s="19"/>
      <x:c r="E47" s="19"/>
      <x:c r="F47" s="1"/>
      <x:c r="G47" s="1"/>
      <x:c r="H47" s="1"/>
      <x:c r="I47" s="1"/>
      <x:c r="J47" s="1"/>
      <x:c r="K47" s="1"/>
      <x:c r="L47" s="1"/>
      <x:c r="M47" s="1"/>
      <x:c r="N47" s="1"/>
      <x:c r="O47" s="1"/>
    </x:row>
    <x:row r="48" ht="16.5">
      <x:c r="B48" s="11"/>
      <x:c r="C48" s="1"/>
      <x:c r="D48" s="19"/>
      <x:c r="E48" s="19"/>
      <x:c r="F48" s="1"/>
      <x:c r="G48" s="1"/>
      <x:c r="H48" s="1"/>
      <x:c r="I48" s="1"/>
      <x:c r="J48" s="1"/>
      <x:c r="K48" s="1"/>
      <x:c r="L48" s="1"/>
      <x:c r="M48" s="1"/>
      <x:c r="N48" s="1"/>
      <x:c r="O48" s="1"/>
    </x:row>
    <x:row r="49" ht="16.5">
      <x:c r="A49"/>
      <x:c r="B49" s="11"/>
      <x:c r="C49" s="1"/>
      <x:c r="D49" s="19"/>
      <x:c r="E49" s="19"/>
      <x:c r="F49" s="1"/>
      <x:c r="G49" s="1"/>
      <x:c r="H49" s="1"/>
      <x:c r="I49" s="1"/>
      <x:c r="J49" s="1"/>
      <x:c r="K49" s="1"/>
      <x:c r="L49" s="1"/>
      <x:c r="M49" s="1"/>
      <x:c r="N49" s="1"/>
      <x:c r="O49" s="1"/>
    </x:row>
    <x:row r="50" ht="16.5">
      <x:c r="A50"/>
      <x:c r="B50" s="11"/>
      <x:c r="C50" s="1"/>
      <x:c r="D50" s="19"/>
      <x:c r="E50" s="19"/>
      <x:c r="F50" s="1"/>
      <x:c r="G50" s="1"/>
      <x:c r="H50" s="1"/>
      <x:c r="I50" s="1"/>
      <x:c r="J50" s="1"/>
      <x:c r="K50" s="1"/>
      <x:c r="L50" s="1"/>
      <x:c r="M50" s="1"/>
      <x:c r="N50" s="1"/>
      <x:c r="O50" s="1"/>
    </x:row>
    <x:row r="51" ht="16.5">
      <x:c r="A51"/>
      <x:c r="B51" s="11"/>
      <x:c r="C51" s="1"/>
      <x:c r="D51" s="19"/>
      <x:c r="E51" s="19"/>
      <x:c r="F51" s="1"/>
      <x:c r="G51" s="1"/>
      <x:c r="H51" s="1"/>
      <x:c r="I51" s="1"/>
      <x:c r="J51" s="1"/>
      <x:c r="K51" s="1"/>
      <x:c r="L51" s="1"/>
      <x:c r="M51" s="1"/>
      <x:c r="N51" s="1"/>
      <x:c r="O51" s="1"/>
    </x:row>
    <x:row r="52" ht="16.5">
      <x:c r="A52"/>
      <x:c r="B52" s="11"/>
      <x:c r="C52" s="1"/>
      <x:c r="D52" s="19"/>
      <x:c r="E52" s="19"/>
      <x:c r="F52" s="1"/>
      <x:c r="G52" s="1"/>
      <x:c r="H52" s="1"/>
      <x:c r="I52" s="1"/>
      <x:c r="J52" s="1"/>
      <x:c r="K52" s="1"/>
      <x:c r="L52" s="1"/>
      <x:c r="M52" s="1"/>
      <x:c r="N52" s="1"/>
      <x:c r="O52" s="1"/>
    </x:row>
    <x:row r="53" ht="16.5">
      <x:c r="A53"/>
      <x:c r="B53" s="11"/>
      <x:c r="C53" s="1"/>
      <x:c r="D53" s="19"/>
      <x:c r="E53" s="19"/>
      <x:c r="F53" s="1"/>
      <x:c r="G53" s="1"/>
      <x:c r="H53" s="1"/>
      <x:c r="I53" s="1"/>
      <x:c r="J53" s="1"/>
      <x:c r="K53" s="1"/>
      <x:c r="L53" s="1"/>
      <x:c r="M53" s="1"/>
      <x:c r="N53" s="1"/>
      <x:c r="O53" s="1"/>
    </x:row>
    <x:row r="54" ht="16.5">
      <x:c r="A54"/>
      <x:c r="B54" s="11"/>
      <x:c r="C54" s="1"/>
      <x:c r="D54" s="19"/>
      <x:c r="E54" s="19"/>
      <x:c r="F54" s="1"/>
      <x:c r="G54" s="1"/>
      <x:c r="H54" s="1"/>
      <x:c r="I54" s="1"/>
      <x:c r="J54" s="1"/>
      <x:c r="K54" s="1"/>
      <x:c r="L54" s="1"/>
      <x:c r="M54" s="1"/>
      <x:c r="N54" s="1"/>
      <x:c r="O54" s="1"/>
    </x:row>
    <x:row r="55" ht="16.5">
      <x:c r="A55"/>
      <x:c r="B55" s="11"/>
      <x:c r="C55" s="1"/>
      <x:c r="D55" s="19"/>
      <x:c r="E55" s="19"/>
      <x:c r="F55" s="1"/>
      <x:c r="G55" s="1"/>
      <x:c r="H55" s="1"/>
      <x:c r="I55" s="1"/>
      <x:c r="J55" s="1"/>
      <x:c r="K55" s="1"/>
      <x:c r="L55" s="1"/>
      <x:c r="M55" s="1"/>
      <x:c r="N55" s="1"/>
      <x:c r="O55" s="1"/>
    </x:row>
    <x:row r="56" ht="16.5">
      <x:c r="A56"/>
      <x:c r="B56" s="11"/>
      <x:c r="C56" s="1"/>
      <x:c r="D56" s="19"/>
      <x:c r="E56" s="19"/>
      <x:c r="F56" s="1"/>
      <x:c r="G56" s="1"/>
      <x:c r="H56" s="1"/>
      <x:c r="I56" s="1"/>
      <x:c r="J56" s="1"/>
      <x:c r="K56" s="1"/>
      <x:c r="L56" s="1"/>
      <x:c r="M56" s="1"/>
      <x:c r="N56" s="1"/>
      <x:c r="O56" s="1"/>
    </x:row>
    <x:row r="57" ht="16.5">
      <x:c r="A57"/>
      <x:c r="B57" s="11"/>
      <x:c r="C57" s="1"/>
      <x:c r="D57" s="19"/>
      <x:c r="E57" s="19"/>
      <x:c r="F57" s="1"/>
      <x:c r="G57" s="1"/>
      <x:c r="H57" s="1"/>
      <x:c r="I57" s="1"/>
      <x:c r="J57" s="1"/>
      <x:c r="K57" s="1"/>
      <x:c r="L57" s="1"/>
      <x:c r="M57" s="1"/>
      <x:c r="N57" s="1"/>
      <x:c r="O57" s="1"/>
    </x:row>
    <x:row r="58" ht="16.5">
      <x:c r="A58"/>
      <x:c r="B58" s="11"/>
      <x:c r="C58" s="1"/>
      <x:c r="D58" s="19"/>
      <x:c r="E58" s="19"/>
      <x:c r="F58" s="1"/>
      <x:c r="G58" s="1"/>
      <x:c r="H58" s="1"/>
      <x:c r="I58" s="1"/>
      <x:c r="J58" s="1"/>
      <x:c r="K58" s="1"/>
      <x:c r="L58" s="1"/>
      <x:c r="M58" s="1"/>
      <x:c r="N58" s="1"/>
      <x:c r="O58" s="1"/>
    </x:row>
    <x:row r="59" ht="16.5">
      <x:c r="A59"/>
      <x:c r="B59" s="11"/>
      <x:c r="C59" s="1"/>
      <x:c r="D59" s="19"/>
      <x:c r="E59" s="19"/>
      <x:c r="F59" s="1"/>
      <x:c r="G59" s="1"/>
      <x:c r="H59" s="1"/>
      <x:c r="I59" s="1"/>
      <x:c r="J59" s="1"/>
      <x:c r="K59" s="1"/>
      <x:c r="L59" s="1"/>
      <x:c r="M59" s="1"/>
      <x:c r="N59" s="1"/>
      <x:c r="O59" s="1"/>
    </x:row>
    <x:row r="60" ht="16.5">
      <x:c r="A60"/>
      <x:c r="B60" s="11"/>
      <x:c r="C60" s="1"/>
      <x:c r="D60" s="19"/>
      <x:c r="E60" s="19"/>
      <x:c r="F60" s="1"/>
      <x:c r="G60" s="1"/>
      <x:c r="H60" s="1"/>
      <x:c r="I60" s="1"/>
      <x:c r="J60" s="1"/>
      <x:c r="K60" s="1"/>
      <x:c r="L60" s="1"/>
      <x:c r="M60" s="1"/>
      <x:c r="N60" s="1"/>
      <x:c r="O60" s="1"/>
    </x:row>
    <x:row r="61" ht="16.5">
      <x:c r="A61"/>
      <x:c r="B61" s="11"/>
      <x:c r="C61" s="1"/>
      <x:c r="D61" s="19"/>
      <x:c r="E61" s="19"/>
      <x:c r="F61" s="1"/>
      <x:c r="G61" s="1"/>
      <x:c r="H61" s="1"/>
      <x:c r="I61" s="1"/>
      <x:c r="J61" s="1"/>
      <x:c r="K61" s="1"/>
      <x:c r="L61" s="1"/>
      <x:c r="M61" s="1"/>
      <x:c r="N61" s="1"/>
      <x:c r="O61" s="1"/>
    </x:row>
    <x:row r="62" ht="16.5">
      <x:c r="A62"/>
      <x:c r="B62" s="11"/>
      <x:c r="C62" s="1"/>
      <x:c r="D62" s="19"/>
      <x:c r="E62" s="19"/>
      <x:c r="F62" s="1"/>
      <x:c r="G62" s="1"/>
      <x:c r="H62" s="1"/>
      <x:c r="I62" s="1"/>
      <x:c r="J62" s="1"/>
      <x:c r="K62" s="1"/>
      <x:c r="L62" s="1"/>
      <x:c r="M62" s="1"/>
      <x:c r="N62" s="1"/>
      <x:c r="O62" s="1"/>
    </x:row>
    <x:row r="63" ht="16.5">
      <x:c r="A63"/>
      <x:c r="B63" s="11"/>
      <x:c r="C63" s="1"/>
      <x:c r="D63" s="19"/>
      <x:c r="E63" s="19"/>
      <x:c r="F63" s="1"/>
      <x:c r="G63" s="1"/>
      <x:c r="H63" s="1"/>
      <x:c r="I63" s="1"/>
      <x:c r="J63" s="1"/>
      <x:c r="K63" s="1"/>
      <x:c r="L63" s="1"/>
      <x:c r="M63" s="1"/>
      <x:c r="N63" s="1"/>
      <x:c r="O63" s="1"/>
    </x:row>
    <x:row r="64" ht="16.5">
      <x:c r="A64"/>
      <x:c r="B64" s="11"/>
      <x:c r="C64" s="1"/>
      <x:c r="D64" s="19"/>
      <x:c r="E64" s="19"/>
      <x:c r="F64" s="1"/>
      <x:c r="G64" s="1"/>
      <x:c r="H64" s="1"/>
      <x:c r="I64" s="1"/>
      <x:c r="J64" s="1"/>
      <x:c r="K64" s="1"/>
      <x:c r="L64" s="1"/>
      <x:c r="M64" s="1"/>
      <x:c r="N64" s="1"/>
      <x:c r="O64" s="1"/>
    </x:row>
    <x:row r="65" ht="16.5">
      <x:c r="A65"/>
      <x:c r="B65" s="11"/>
      <x:c r="C65" s="1"/>
      <x:c r="D65" s="19"/>
      <x:c r="E65" s="19"/>
      <x:c r="F65" s="1"/>
      <x:c r="G65" s="1"/>
      <x:c r="H65" s="1"/>
      <x:c r="I65" s="1"/>
      <x:c r="J65" s="1"/>
      <x:c r="K65" s="1"/>
      <x:c r="L65" s="1"/>
      <x:c r="M65" s="1"/>
      <x:c r="N65" s="1"/>
      <x:c r="O65" s="1"/>
    </x:row>
    <x:row r="66" ht="16.5">
      <x:c r="A66"/>
      <x:c r="B66" s="11"/>
      <x:c r="C66" s="1"/>
      <x:c r="D66" s="19"/>
      <x:c r="E66" s="19"/>
      <x:c r="F66" s="1"/>
      <x:c r="G66" s="1"/>
      <x:c r="H66" s="1"/>
      <x:c r="I66" s="1"/>
      <x:c r="J66" s="1"/>
      <x:c r="K66" s="1"/>
      <x:c r="L66" s="1"/>
      <x:c r="M66" s="1"/>
      <x:c r="N66" s="1"/>
      <x:c r="O66" s="1"/>
    </x:row>
    <x:row r="67" ht="16.5">
      <x:c r="A67"/>
      <x:c r="B67" s="11"/>
      <x:c r="C67" s="1"/>
      <x:c r="D67" s="19"/>
      <x:c r="E67" s="19"/>
      <x:c r="F67" s="1"/>
      <x:c r="G67" s="1"/>
      <x:c r="H67" s="1"/>
      <x:c r="I67" s="1"/>
      <x:c r="J67" s="1"/>
      <x:c r="K67" s="1"/>
      <x:c r="L67" s="1"/>
      <x:c r="M67" s="1"/>
      <x:c r="N67" s="1"/>
      <x:c r="O67" s="1"/>
    </x:row>
    <x:row r="68" ht="16.5">
      <x:c r="A68"/>
      <x:c r="B68" s="11"/>
      <x:c r="C68" s="1"/>
      <x:c r="D68" s="19"/>
      <x:c r="E68" s="19"/>
      <x:c r="F68" s="1"/>
      <x:c r="G68" s="1"/>
      <x:c r="H68" s="1"/>
      <x:c r="I68" s="1"/>
      <x:c r="J68" s="1"/>
      <x:c r="K68" s="1"/>
      <x:c r="L68" s="1"/>
      <x:c r="M68" s="1"/>
      <x:c r="N68" s="1"/>
      <x:c r="O68" s="1"/>
    </x:row>
    <x:row r="69" ht="16.5">
      <x:c r="A69"/>
      <x:c r="B69" s="11"/>
      <x:c r="C69" s="1"/>
      <x:c r="D69" s="19"/>
      <x:c r="E69" s="19"/>
      <x:c r="F69" s="1"/>
      <x:c r="G69" s="1"/>
      <x:c r="H69" s="1"/>
      <x:c r="I69" s="1"/>
      <x:c r="J69" s="1"/>
      <x:c r="K69" s="1"/>
      <x:c r="L69" s="1"/>
      <x:c r="M69" s="1"/>
      <x:c r="N69" s="1"/>
      <x:c r="O69" s="1"/>
    </x:row>
    <x:row r="70" ht="16.5">
      <x:c r="A70"/>
      <x:c r="B70" s="11"/>
      <x:c r="C70" s="1"/>
      <x:c r="D70" s="19"/>
      <x:c r="E70" s="19"/>
      <x:c r="F70" s="1"/>
      <x:c r="G70" s="1"/>
      <x:c r="H70" s="1"/>
      <x:c r="I70" s="1"/>
      <x:c r="J70" s="1"/>
      <x:c r="K70" s="1"/>
      <x:c r="L70" s="1"/>
      <x:c r="M70" s="1"/>
      <x:c r="N70" s="1"/>
      <x:c r="O70" s="1"/>
    </x:row>
    <x:row r="71" ht="16.5">
      <x:c r="A71"/>
      <x:c r="B71" s="11"/>
      <x:c r="C71" s="1"/>
      <x:c r="D71" s="19"/>
      <x:c r="E71" s="19"/>
      <x:c r="F71" s="1"/>
      <x:c r="G71" s="1"/>
      <x:c r="H71" s="1"/>
      <x:c r="I71" s="1"/>
      <x:c r="J71" s="1"/>
      <x:c r="K71" s="1"/>
      <x:c r="L71" s="1"/>
      <x:c r="M71" s="1"/>
      <x:c r="N71" s="1"/>
      <x:c r="O71" s="1"/>
    </x:row>
    <x:row r="72" ht="16.5">
      <x:c r="A72"/>
      <x:c r="B72" s="11"/>
      <x:c r="C72" s="1"/>
      <x:c r="D72" s="19"/>
      <x:c r="E72" s="19"/>
      <x:c r="F72" s="1"/>
      <x:c r="G72" s="1"/>
      <x:c r="H72" s="1"/>
      <x:c r="I72" s="1"/>
      <x:c r="J72" s="1"/>
      <x:c r="K72" s="1"/>
      <x:c r="L72" s="1"/>
      <x:c r="M72" s="1"/>
      <x:c r="N72" s="1"/>
      <x:c r="O72" s="1"/>
    </x:row>
    <x:row r="73" ht="16.5">
      <x:c r="A73"/>
      <x:c r="B73" s="11"/>
      <x:c r="C73" s="1"/>
      <x:c r="D73" s="19"/>
      <x:c r="E73" s="19"/>
      <x:c r="F73" s="1"/>
      <x:c r="G73" s="1"/>
      <x:c r="H73" s="1"/>
      <x:c r="I73" s="1"/>
      <x:c r="J73" s="1"/>
      <x:c r="K73" s="1"/>
      <x:c r="L73" s="1"/>
      <x:c r="M73" s="1"/>
      <x:c r="N73" s="1"/>
      <x:c r="O73" s="1"/>
    </x:row>
    <x:row r="74" ht="16.5">
      <x:c r="A74"/>
      <x:c r="B74" s="11"/>
      <x:c r="C74" s="1"/>
      <x:c r="D74" s="19"/>
      <x:c r="E74" s="19"/>
      <x:c r="F74" s="1"/>
      <x:c r="G74" s="1"/>
      <x:c r="H74" s="1"/>
      <x:c r="I74" s="1"/>
      <x:c r="J74" s="1"/>
      <x:c r="K74" s="1"/>
      <x:c r="L74" s="1"/>
      <x:c r="M74" s="1"/>
      <x:c r="N74" s="1"/>
      <x:c r="O74" s="1"/>
    </x:row>
    <x:row r="75" ht="16.5">
      <x:c r="A75"/>
      <x:c r="B75" s="11"/>
      <x:c r="C75" s="1"/>
      <x:c r="D75" s="19"/>
      <x:c r="E75" s="19"/>
      <x:c r="F75" s="1"/>
      <x:c r="G75" s="1"/>
      <x:c r="H75" s="1"/>
      <x:c r="I75" s="1"/>
      <x:c r="J75" s="1"/>
      <x:c r="K75" s="1"/>
      <x:c r="L75" s="1"/>
      <x:c r="M75" s="1"/>
      <x:c r="N75" s="1"/>
      <x:c r="O75" s="1"/>
    </x:row>
    <x:row r="76" ht="16.5">
      <x:c r="A76"/>
      <x:c r="B76" s="11"/>
      <x:c r="C76" s="1"/>
      <x:c r="D76" s="19"/>
      <x:c r="E76" s="19"/>
      <x:c r="F76" s="1"/>
      <x:c r="G76" s="1"/>
      <x:c r="H76" s="1"/>
      <x:c r="I76" s="1"/>
      <x:c r="J76" s="1"/>
      <x:c r="K76" s="1"/>
      <x:c r="L76" s="1"/>
      <x:c r="M76" s="1"/>
      <x:c r="N76" s="1"/>
      <x:c r="O76" s="1"/>
    </x:row>
    <x:row r="77" ht="16.5">
      <x:c r="A77"/>
      <x:c r="B77" s="11"/>
      <x:c r="C77" s="1"/>
      <x:c r="D77" s="19"/>
      <x:c r="E77" s="19"/>
      <x:c r="F77" s="1"/>
      <x:c r="G77" s="1"/>
      <x:c r="H77" s="1"/>
      <x:c r="I77" s="1"/>
      <x:c r="J77" s="1"/>
      <x:c r="K77" s="1"/>
      <x:c r="L77" s="1"/>
      <x:c r="M77" s="1"/>
      <x:c r="N77" s="1"/>
      <x:c r="O77" s="1"/>
    </x:row>
  </x:sheetData>
  <x:mergeCells>
    <x:mergeCell ref="G5:I5"/>
  </x:mergeCells>
  <x:pageMargins left="0.7" right="0.7" top="0.75" bottom="0.75" header="0.3" footer="0.3"/>
  <x:drawing xmlns:r="http://schemas.openxmlformats.org/officeDocument/2006/relationships" r:id="Ref67fca1e10c41b5"/>
</x:worksheet>
</file>

<file path=xl/worksheets/sheet20.xml><?xml version="1.0" encoding="utf-8"?>
<x:worksheet xmlns:x="http://schemas.openxmlformats.org/spreadsheetml/2006/main">
  <x:sheetPr>
    <x:tabColor rgb="FF0000FF"/>
  </x:sheetPr>
  <x:sheetFormatPr defaultRowHeight="15"/>
  <x:cols>
    <x:col min="1" max="1" width="16.42578125" customWidth="1"/>
    <x:col min="2" max="2" width="15.140625" customWidth="1"/>
  </x:cols>
  <x:sheetData>
    <x:row r="1" ht="69" customHeight="1">
      <x:c r="A1" s="147" t="s">
        <x:v>34</x:v>
      </x:c>
      <x:c r="B1" s="151"/>
      <x:c r="C1" s="151"/>
      <x:c r="D1" s="151"/>
      <x:c r="E1" s="151"/>
      <x:c r="F1" s="151"/>
      <x:c r="G1" s="151"/>
      <x:c r="H1" s="151"/>
      <x:c r="I1" s="151"/>
      <x:c r="J1" s="151"/>
      <x:c r="K1" s="151"/>
      <x:c r="L1" s="151"/>
      <x:c r="M1" s="151"/>
      <x:c r="N1" s="151"/>
      <x:c r="O1" s="151"/>
      <x:c r="P1" s="151"/>
      <x:c r="Q1" s="151"/>
      <x:c r="R1" s="151"/>
      <x:c r="S1" s="151"/>
      <x:c r="T1" s="151"/>
    </x:row>
    <x:row r="2" ht="42" customHeight="1">
      <x:c r="A2"/>
      <x:c r="B2"/>
      <x:c r="C2"/>
    </x:row>
    <x:row r="3" ht="22.5" customHeight="1">
      <x:c r="A3" s="144" t="s">
        <x:v>35</x:v>
      </x:c>
      <x:c r="B3" s="145"/>
      <x:c r="C3" s="146"/>
    </x:row>
    <x:row r="4" ht="17.25">
      <x:c r="A4" s="44"/>
      <x:c r="B4" s="45"/>
      <x:c r="C4" s="46"/>
    </x:row>
    <x:row r="5" ht="17.25">
      <x:c r="A5" s="71" t="s">
        <x:v>36</x:v>
      </x:c>
      <x:c r="B5" s="72" t="str">
        <x:f>IF('SHOP AUGUST 2026 (6)'!B40="","",'SHOP AUGUST 2026 (6)'!B40)</x:f>
      </x:c>
      <x:c r="C5" s="47" t="str">
        <x:f>IFERROR(B5/B7,"")</x:f>
      </x:c>
    </x:row>
    <x:row r="6" ht="18">
      <x:c r="A6" s="73" t="s">
        <x:v>37</x:v>
      </x:c>
      <x:c r="B6" s="74" t="str">
        <x:f>IF('THIRD PARTY AUGUST 2026 (6)'!B39="","",'THIRD PARTY AUGUST 2026 (6)'!B39)</x:f>
      </x:c>
      <x:c r="C6" s="47" t="str">
        <x:f>IFERROR(B6/B7,"")</x:f>
      </x:c>
    </x:row>
    <x:row r="7" ht="16.5">
      <x:c r="A7" s="43"/>
      <x:c r="B7" s="42" t="str">
        <x:f>IF(SUM(B5:B6)=0,"",SUM(B5:B6))</x:f>
      </x:c>
      <x:c r="C7" s="48" t="str">
        <x:f>IF(SUM(C5:C6)=0,"",SUM(C5:C6))</x:f>
      </x:c>
    </x:row>
  </x:sheetData>
  <x:mergeCells>
    <x:mergeCell ref="A3:C3"/>
    <x:mergeCell ref="A1:T1"/>
  </x:mergeCells>
  <x:pageMargins left="0.7" right="0.7" top="0.75" bottom="0.75" header="0.3" footer="0.3"/>
  <x:drawing xmlns:r="http://schemas.openxmlformats.org/officeDocument/2006/relationships" r:id="Re1c2c1b753d141bf"/>
</x:worksheet>
</file>

<file path=xl/worksheets/sheet21.xml><?xml version="1.0" encoding="utf-8"?>
<x:worksheet xmlns:x="http://schemas.openxmlformats.org/spreadsheetml/2006/main">
  <x:sheetPr>
    <x:tabColor theme="5"/>
  </x:sheetPr>
  <x:sheetFormatPr defaultRowHeight="15"/>
  <x:cols>
    <x:col min="1" max="1" width="23.28515625" style="14" customWidth="1"/>
    <x:col min="2" max="2" width="15.5703125" style="6" customWidth="1"/>
    <x:col min="3" max="3" width="19" customWidth="1"/>
    <x:col min="4" max="4" width="13.85546875" style="20" customWidth="1"/>
    <x:col min="5" max="5" width="20.5703125" style="20" customWidth="1"/>
    <x:col min="6" max="6" width="13.85546875" style="8" customWidth="1"/>
    <x:col min="7" max="7" width="13.85546875" style="9" customWidth="1"/>
    <x:col min="9" max="9" width="17" customWidth="1"/>
    <x:col min="10" max="10" width="13.140625" customWidth="1"/>
    <x:col min="11" max="11" width="9.140625" customWidth="1"/>
  </x:cols>
  <x:sheetData>
    <x:row r="2" ht="18">
      <x:c r="A2" s="16" t="str">
        <x:v>DAILY SALES (6B)  - SEPTEMBER 2026</x:v>
      </x:c>
      <x:c r="B2" s="16"/>
      <x:c r="C2" s="16"/>
      <x:c r="D2" s="18"/>
      <x:c r="E2" s="18"/>
      <x:c r="F2" s="16"/>
      <x:c r="G2" s="18"/>
      <x:c r="H2" s="16"/>
      <x:c r="I2" s="16"/>
      <x:c r="J2" s="16"/>
      <x:c r="K2" s="16"/>
      <x:c r="L2" s="16"/>
      <x:c r="M2" s="16"/>
      <x:c r="N2" s="16"/>
      <x:c r="O2" s="16"/>
      <x:c r="P2" s="16"/>
    </x:row>
    <x:row r="3" ht="18">
      <x:c r="B3" s="24"/>
      <x:c r="C3" s="24"/>
      <x:c r="D3" s="18"/>
      <x:c r="E3" s="18"/>
      <x:c r="F3" s="24"/>
      <x:c r="G3" s="24"/>
      <x:c r="H3" s="24"/>
      <x:c r="I3" s="24"/>
      <x:c r="J3" s="24"/>
      <x:c r="K3" s="24"/>
      <x:c r="L3" s="24"/>
      <x:c r="M3" s="24"/>
      <x:c r="N3" s="24"/>
      <x:c r="O3" s="24"/>
      <x:c r="P3" s="24"/>
    </x:row>
    <x:row r="4" ht="16.5">
      <x:c r="B4" s="11"/>
      <x:c r="C4" s="1"/>
      <x:c r="D4" s="19"/>
      <x:c r="E4" s="19"/>
      <x:c r="F4" s="12"/>
      <x:c r="G4" s="13"/>
      <x:c r="H4" s="1"/>
      <x:c r="I4" s="1"/>
      <x:c r="J4" s="1"/>
      <x:c r="K4" s="1"/>
      <x:c r="L4" s="1"/>
      <x:c r="M4" s="1"/>
      <x:c r="N4" s="1"/>
      <x:c r="O4" s="1"/>
      <x:c r="P4" s="1"/>
    </x:row>
    <x:row r="5" ht="16.5">
      <x:c r="A5" s="21" t="s">
        <x:v>21</x:v>
      </x:c>
      <x:c r="B5" s="22" t="s">
        <x:v>22</x:v>
      </x:c>
      <x:c r="C5" s="106" t="s">
        <x:v>23</x:v>
      </x:c>
      <x:c r="D5" s="139" t="s">
        <x:v>24</x:v>
      </x:c>
      <x:c r="E5" s="140"/>
      <x:c r="F5" s="139" t="s">
        <x:v>25</x:v>
      </x:c>
      <x:c r="G5" s="141"/>
      <x:c r="H5" s="2"/>
      <x:c r="I5" s="135" t="s">
        <x:v>26</x:v>
      </x:c>
      <x:c r="J5" s="135"/>
      <x:c r="K5" s="135"/>
      <x:c r="L5" s="1"/>
      <x:c r="M5" s="1"/>
      <x:c r="N5" s="1"/>
      <x:c r="O5" s="1"/>
      <x:c r="P5" s="1"/>
    </x:row>
    <x:row r="6" ht="16.5">
      <x:c r="A6" s="21"/>
      <x:c r="B6" s="22"/>
      <x:c r="C6" s="23"/>
      <x:c r="D6" s="26" t="s">
        <x:v>27</x:v>
      </x:c>
      <x:c r="E6" s="26" t="s">
        <x:v>28</x:v>
      </x:c>
      <x:c r="F6" s="26" t="s">
        <x:v>29</x:v>
      </x:c>
      <x:c r="G6" s="26" t="s">
        <x:v>30</x:v>
      </x:c>
      <x:c r="H6" s="2"/>
      <x:c r="I6" s="17"/>
      <x:c r="J6" s="17"/>
      <x:c r="K6" s="17"/>
      <x:c r="L6" s="1"/>
      <x:c r="M6" s="1"/>
      <x:c r="N6" s="1"/>
      <x:c r="O6" s="1"/>
      <x:c r="P6" s="1"/>
    </x:row>
    <x:row r="7" ht="16.5">
      <x:c r="A7" s="15"/>
      <x:c r="B7" s="7"/>
      <x:c r="C7" s="5"/>
      <x:c r="D7" s="17"/>
      <x:c r="E7" s="17"/>
      <x:c r="F7" s="17"/>
      <x:c r="G7" s="17"/>
      <x:c r="H7" s="2"/>
      <x:c r="I7" s="17"/>
      <x:c r="J7" s="17"/>
      <x:c r="K7" s="17"/>
      <x:c r="L7" s="1"/>
      <x:c r="M7" s="1"/>
      <x:c r="N7" s="1"/>
      <x:c r="O7" s="1"/>
      <x:c r="P7" s="1"/>
    </x:row>
    <x:row r="8" ht="16.5">
      <x:c r="A8" s="171" t="n">
        <x:v>46266</x:v>
      </x:c>
      <x:c r="B8" s="52" t="str">
        <x:f t="shared" ref="B8:B35" si="0">IF(SUM(C8:G8)=0,"",SUM(C8:G8))</x:f>
      </x:c>
      <x:c r="C8" s="53"/>
      <x:c r="D8" s="54"/>
      <x:c r="E8" s="54"/>
      <x:c r="F8" s="53" t="str">
        <x:f>IF('RETAIL &amp; PRINT'!O11="","",'RETAIL &amp; PRINT'!O11)</x:f>
      </x:c>
      <x:c r="G8" s="53" t="str">
        <x:f>IF(F8="","",F8*10%)</x:f>
      </x:c>
      <x:c r="H8" s="1"/>
      <x:c r="I8" s="3" t="str">
        <x:f>C5</x:f>
        <x:v>Footwear</x:v>
      </x:c>
      <x:c r="J8" s="10" t="str">
        <x:f>IF(C39="","",C39)</x:f>
      </x:c>
      <x:c r="K8" s="4" t="str">
        <x:f>IFERROR(C39/B40,"")</x:f>
      </x:c>
      <x:c r="L8" s="1"/>
      <x:c r="M8" s="1"/>
      <x:c r="N8" s="1"/>
      <x:c r="O8" s="1"/>
      <x:c r="P8" s="1"/>
    </x:row>
    <x:row r="9" ht="16.5">
      <x:c r="A9" s="171" t="n">
        <x:v>46267</x:v>
      </x:c>
      <x:c r="B9" s="98" t="str">
        <x:f t="shared" si="0">IF(SUM(C9:G9)=0,"",SUM(C9:G9))</x:f>
      </x:c>
      <x:c r="C9" s="99"/>
      <x:c r="D9" s="100"/>
      <x:c r="E9" s="100"/>
      <x:c r="F9" s="99" t="str">
        <x:f>IF('RETAIL &amp; PRINT'!O12="","",'RETAIL &amp; PRINT'!O12)</x:f>
      </x:c>
      <x:c r="G9" s="53" t="str">
        <x:f t="shared" ref="G9:G37" si="1">IF(F9="","",F9*10%)</x:f>
      </x:c>
      <x:c r="H9" s="1"/>
      <x:c r="I9" s="3" t="str">
        <x:f>D5</x:f>
        <x:v>Deep Cleaning</x:v>
      </x:c>
      <x:c r="J9" s="10" t="str">
        <x:f>IF(D40="","",D40)</x:f>
      </x:c>
      <x:c r="K9" s="4" t="str">
        <x:f>IFERROR(D40/$B$40,"")</x:f>
      </x:c>
      <x:c r="L9" s="1"/>
      <x:c r="M9" s="1"/>
      <x:c r="N9" s="1"/>
      <x:c r="O9" s="1"/>
      <x:c r="P9" s="1"/>
    </x:row>
    <x:row r="10" ht="16.5">
      <x:c r="A10" s="171" t="n">
        <x:v>46268</x:v>
      </x:c>
      <x:c r="B10" s="98" t="str">
        <x:f t="shared" si="0">IF(SUM(C10:G10)=0,"",SUM(C10:G10))</x:f>
      </x:c>
      <x:c r="C10" s="99"/>
      <x:c r="D10" s="100"/>
      <x:c r="E10" s="100"/>
      <x:c r="F10" s="99" t="str">
        <x:f>IF('RETAIL &amp; PRINT'!O13="","",'RETAIL &amp; PRINT'!O13)</x:f>
      </x:c>
      <x:c r="G10" s="53" t="str">
        <x:f t="shared" si="1">IF(F10="","",F10*10%)</x:f>
      </x:c>
      <x:c r="H10" s="1"/>
      <x:c r="I10" s="3" t="str">
        <x:f>F5</x:f>
        <x:v>Print &amp; Retail</x:v>
      </x:c>
      <x:c r="J10" s="10" t="str">
        <x:f>IF(F40="","",F40)</x:f>
      </x:c>
      <x:c r="K10" s="4" t="str">
        <x:f>IFERROR(SUM(F39:G39)/B40,"")</x:f>
      </x:c>
      <x:c r="L10" s="1"/>
      <x:c r="M10" s="1"/>
      <x:c r="N10" s="1"/>
      <x:c r="O10" s="1"/>
      <x:c r="P10" s="1"/>
    </x:row>
    <x:row r="11" ht="16.5">
      <x:c r="A11" s="171" t="n">
        <x:v>46269</x:v>
      </x:c>
      <x:c r="B11" s="98" t="str">
        <x:f t="shared" si="0">IF(SUM(C11:G11)=0,"",SUM(C11:G11))</x:f>
      </x:c>
      <x:c r="C11" s="99"/>
      <x:c r="D11" s="100"/>
      <x:c r="E11" s="100"/>
      <x:c r="F11" s="99" t="str">
        <x:f>IF('RETAIL &amp; PRINT'!O14="","",'RETAIL &amp; PRINT'!O14)</x:f>
      </x:c>
      <x:c r="G11" s="53" t="str">
        <x:f t="shared" si="1">IF(F11="","",F11*10%)</x:f>
      </x:c>
      <x:c r="H11" s="1"/>
      <x:c r="I11" s="3"/>
      <x:c r="J11" s="10"/>
      <x:c r="K11" s="4"/>
      <x:c r="L11" s="1"/>
      <x:c r="M11" s="1"/>
      <x:c r="N11" s="1"/>
      <x:c r="O11" s="1"/>
      <x:c r="P11" s="1"/>
    </x:row>
    <x:row r="12" ht="16.5">
      <x:c r="A12" s="171" t="n">
        <x:v>46270</x:v>
      </x:c>
      <x:c r="B12" s="98" t="str">
        <x:f t="shared" si="0">IF(SUM(C12:G12)=0,"",SUM(C12:G12))</x:f>
      </x:c>
      <x:c r="C12" s="99"/>
      <x:c r="D12" s="100"/>
      <x:c r="E12" s="100"/>
      <x:c r="F12" s="99" t="str">
        <x:f>IF('RETAIL &amp; PRINT'!O15="","",'RETAIL &amp; PRINT'!O15)</x:f>
      </x:c>
      <x:c r="G12" s="53" t="str">
        <x:f t="shared" si="1">IF(F12="","",F12*10%)</x:f>
      </x:c>
      <x:c r="H12" s="1"/>
      <x:c r="I12" s="3"/>
      <x:c r="J12" s="10" t="str">
        <x:f>IF(SUM(J8:J11)=0,"",SUM(J8:J11))</x:f>
      </x:c>
      <x:c r="K12" s="4" t="str">
        <x:f>IF(SUM(K8:K11)=0,"",SUM(K8:K11))</x:f>
      </x:c>
      <x:c r="L12" s="1"/>
      <x:c r="M12" s="1"/>
      <x:c r="N12" s="1"/>
      <x:c r="O12" s="1"/>
      <x:c r="P12" s="1"/>
    </x:row>
    <x:row r="13" ht="16.5">
      <x:c r="A13" s="171" t="n">
        <x:v>46271</x:v>
      </x:c>
      <x:c r="B13" s="98" t="str">
        <x:f t="shared" si="0">IF(SUM(C13:G13)=0,"",SUM(C13:G13))</x:f>
      </x:c>
      <x:c r="C13" s="99"/>
      <x:c r="D13" s="100"/>
      <x:c r="E13" s="100"/>
      <x:c r="F13" s="99" t="str">
        <x:f>IF('RETAIL &amp; PRINT'!O16="","",'RETAIL &amp; PRINT'!O16)</x:f>
      </x:c>
      <x:c r="G13" s="53" t="str">
        <x:f t="shared" si="1">IF(F13="","",F13*10%)</x:f>
      </x:c>
      <x:c r="H13" s="1"/>
      <x:c r="I13" s="1"/>
      <x:c r="J13" s="1"/>
      <x:c r="K13" s="1"/>
      <x:c r="L13" s="1"/>
      <x:c r="M13" s="1"/>
      <x:c r="N13" s="1"/>
      <x:c r="O13" s="1"/>
      <x:c r="P13" s="1"/>
    </x:row>
    <x:row r="14" ht="16.5">
      <x:c r="A14" s="171" t="n">
        <x:v>46272</x:v>
      </x:c>
      <x:c r="B14" s="98" t="str">
        <x:f t="shared" si="0">IF(SUM(C14:G14)=0,"",SUM(C14:G14))</x:f>
      </x:c>
      <x:c r="C14" s="99"/>
      <x:c r="D14" s="100"/>
      <x:c r="E14" s="100"/>
      <x:c r="F14" s="99" t="str">
        <x:f>IF('RETAIL &amp; PRINT'!O17="","",'RETAIL &amp; PRINT'!O17)</x:f>
      </x:c>
      <x:c r="G14" s="53" t="str">
        <x:f t="shared" si="1">IF(F14="","",F14*10%)</x:f>
      </x:c>
      <x:c r="H14" s="1"/>
      <x:c r="I14" s="1"/>
      <x:c r="J14" s="27"/>
      <x:c r="K14" s="28"/>
      <x:c r="L14" s="1"/>
      <x:c r="M14" s="1"/>
      <x:c r="N14" s="1"/>
      <x:c r="O14" s="1"/>
      <x:c r="P14" s="1"/>
    </x:row>
    <x:row r="15" ht="16.5">
      <x:c r="A15" s="171" t="n">
        <x:v>46273</x:v>
      </x:c>
      <x:c r="B15" s="98" t="str">
        <x:f t="shared" si="0">IF(SUM(C15:G15)=0,"",SUM(C15:G15))</x:f>
      </x:c>
      <x:c r="C15" s="99"/>
      <x:c r="D15" s="100"/>
      <x:c r="E15" s="100"/>
      <x:c r="F15" s="99" t="str">
        <x:f>IF('RETAIL &amp; PRINT'!O18="","",'RETAIL &amp; PRINT'!O18)</x:f>
      </x:c>
      <x:c r="G15" s="53" t="str">
        <x:f t="shared" si="1">IF(F15="","",F15*10%)</x:f>
      </x:c>
      <x:c r="H15" s="1"/>
      <x:c r="I15" s="1"/>
      <x:c r="J15" s="1"/>
      <x:c r="K15" s="1"/>
      <x:c r="L15" s="1"/>
      <x:c r="M15" s="1"/>
      <x:c r="N15" s="1"/>
      <x:c r="O15" s="1"/>
      <x:c r="P15" s="1"/>
    </x:row>
    <x:row r="16" ht="16.5">
      <x:c r="A16" s="171" t="n">
        <x:v>46274</x:v>
      </x:c>
      <x:c r="B16" s="98" t="str">
        <x:f t="shared" si="0">IF(SUM(C16:G16)=0,"",SUM(C16:G16))</x:f>
      </x:c>
      <x:c r="C16" s="99"/>
      <x:c r="D16" s="100"/>
      <x:c r="E16" s="100"/>
      <x:c r="F16" s="99" t="str">
        <x:f>IF('RETAIL &amp; PRINT'!O19="","",'RETAIL &amp; PRINT'!O19)</x:f>
      </x:c>
      <x:c r="G16" s="53" t="str">
        <x:f t="shared" si="1">IF(F16="","",F16*10%)</x:f>
      </x:c>
      <x:c r="H16" s="1"/>
      <x:c r="I16" s="1"/>
      <x:c r="J16" s="1"/>
      <x:c r="K16" s="1"/>
      <x:c r="L16" s="1"/>
      <x:c r="M16" s="1"/>
      <x:c r="N16" s="1"/>
      <x:c r="O16" s="1"/>
      <x:c r="P16" s="1"/>
    </x:row>
    <x:row r="17" ht="16.5">
      <x:c r="A17" s="171" t="n">
        <x:v>46275</x:v>
      </x:c>
      <x:c r="B17" s="98" t="str">
        <x:f t="shared" si="0">IF(SUM(C17:G17)=0,"",SUM(C17:G17))</x:f>
      </x:c>
      <x:c r="C17" s="99"/>
      <x:c r="D17" s="100"/>
      <x:c r="E17" s="100"/>
      <x:c r="F17" s="99" t="str">
        <x:f>IF('RETAIL &amp; PRINT'!O20="","",'RETAIL &amp; PRINT'!O20)</x:f>
      </x:c>
      <x:c r="G17" s="53" t="str">
        <x:f t="shared" si="1">IF(F17="","",F17*10%)</x:f>
      </x:c>
      <x:c r="H17" s="1"/>
      <x:c r="I17" s="1"/>
      <x:c r="J17" s="1"/>
      <x:c r="K17" s="1"/>
      <x:c r="L17" s="1"/>
      <x:c r="M17" s="1"/>
      <x:c r="N17" s="1"/>
      <x:c r="O17" s="1"/>
      <x:c r="P17" s="1"/>
    </x:row>
    <x:row r="18" ht="16.5">
      <x:c r="A18" s="171" t="n">
        <x:v>46276</x:v>
      </x:c>
      <x:c r="B18" s="98" t="str">
        <x:f t="shared" si="0">IF(SUM(C18:G18)=0,"",SUM(C18:G18))</x:f>
      </x:c>
      <x:c r="C18" s="99"/>
      <x:c r="D18" s="100"/>
      <x:c r="E18" s="100"/>
      <x:c r="F18" s="99" t="str">
        <x:f>IF('RETAIL &amp; PRINT'!O21="","",'RETAIL &amp; PRINT'!O21)</x:f>
      </x:c>
      <x:c r="G18" s="53" t="str">
        <x:f t="shared" si="1">IF(F18="","",F18*10%)</x:f>
      </x:c>
      <x:c r="H18" s="1"/>
      <x:c r="I18" s="1"/>
      <x:c r="J18" s="1"/>
      <x:c r="K18" s="1"/>
      <x:c r="L18" s="1"/>
      <x:c r="M18" s="1"/>
      <x:c r="N18" s="1"/>
      <x:c r="O18" s="1"/>
      <x:c r="P18" s="1"/>
    </x:row>
    <x:row r="19" ht="16.5">
      <x:c r="A19" s="171" t="n">
        <x:v>46277</x:v>
      </x:c>
      <x:c r="B19" s="98" t="str">
        <x:f t="shared" si="0">IF(SUM(C19:G19)=0,"",SUM(C19:G19))</x:f>
      </x:c>
      <x:c r="C19" s="99"/>
      <x:c r="D19" s="100"/>
      <x:c r="E19" s="100"/>
      <x:c r="F19" s="99" t="str">
        <x:f>IF('RETAIL &amp; PRINT'!O22="","",'RETAIL &amp; PRINT'!O22)</x:f>
      </x:c>
      <x:c r="G19" s="53" t="str">
        <x:f t="shared" si="1">IF(F19="","",F19*10%)</x:f>
      </x:c>
      <x:c r="H19" s="1"/>
      <x:c r="I19" s="1"/>
      <x:c r="J19" s="1"/>
      <x:c r="K19" s="1"/>
      <x:c r="L19" s="1"/>
      <x:c r="M19" s="1"/>
      <x:c r="N19" s="1"/>
      <x:c r="O19" s="1"/>
      <x:c r="P19" s="1"/>
    </x:row>
    <x:row r="20" ht="16.5">
      <x:c r="A20" s="171" t="n">
        <x:v>46278</x:v>
      </x:c>
      <x:c r="B20" s="98" t="str">
        <x:f t="shared" si="0">IF(SUM(C20:G20)=0,"",SUM(C20:G20))</x:f>
      </x:c>
      <x:c r="C20" s="99"/>
      <x:c r="D20" s="100"/>
      <x:c r="E20" s="100"/>
      <x:c r="F20" s="99" t="str">
        <x:f>IF('RETAIL &amp; PRINT'!O23="","",'RETAIL &amp; PRINT'!O23)</x:f>
      </x:c>
      <x:c r="G20" s="53" t="str">
        <x:f t="shared" si="1">IF(F20="","",F20*10%)</x:f>
      </x:c>
      <x:c r="H20" s="1"/>
      <x:c r="I20" s="1"/>
      <x:c r="J20" s="1"/>
      <x:c r="K20" s="1"/>
      <x:c r="L20" s="1"/>
      <x:c r="M20" s="1"/>
      <x:c r="N20" s="1"/>
      <x:c r="O20" s="1"/>
      <x:c r="P20" s="1"/>
    </x:row>
    <x:row r="21" ht="16.5">
      <x:c r="A21" s="171" t="n">
        <x:v>46279</x:v>
      </x:c>
      <x:c r="B21" s="98" t="str">
        <x:f t="shared" si="0">IF(SUM(C21:G21)=0,"",SUM(C21:G21))</x:f>
      </x:c>
      <x:c r="C21" s="99"/>
      <x:c r="D21" s="100"/>
      <x:c r="E21" s="100"/>
      <x:c r="F21" s="99" t="str">
        <x:f>IF('RETAIL &amp; PRINT'!O24="","",'RETAIL &amp; PRINT'!O24)</x:f>
      </x:c>
      <x:c r="G21" s="53" t="str">
        <x:f t="shared" si="1">IF(F21="","",F21*10%)</x:f>
      </x:c>
      <x:c r="H21" s="1"/>
      <x:c r="I21" s="1"/>
      <x:c r="J21" s="1"/>
      <x:c r="K21" s="1"/>
      <x:c r="L21" s="1"/>
      <x:c r="M21" s="1"/>
      <x:c r="N21" s="1"/>
      <x:c r="O21" s="1"/>
      <x:c r="P21" s="1"/>
    </x:row>
    <x:row r="22" ht="16.5">
      <x:c r="A22" s="171" t="n">
        <x:v>46280</x:v>
      </x:c>
      <x:c r="B22" s="98" t="str">
        <x:f t="shared" si="0">IF(SUM(C22:G22)=0,"",SUM(C22:G22))</x:f>
      </x:c>
      <x:c r="C22" s="99"/>
      <x:c r="D22" s="100"/>
      <x:c r="E22" s="100"/>
      <x:c r="F22" s="99" t="str">
        <x:f>IF('RETAIL &amp; PRINT'!O25="","",'RETAIL &amp; PRINT'!O25)</x:f>
      </x:c>
      <x:c r="G22" s="53" t="str">
        <x:f t="shared" si="1">IF(F22="","",F22*10%)</x:f>
      </x:c>
      <x:c r="H22" s="1"/>
      <x:c r="I22" s="1"/>
      <x:c r="J22" s="1"/>
      <x:c r="K22" s="1"/>
      <x:c r="L22" s="1"/>
      <x:c r="M22" s="1"/>
      <x:c r="N22" s="1"/>
      <x:c r="O22" s="1"/>
      <x:c r="P22" s="1"/>
    </x:row>
    <x:row r="23" ht="16.5">
      <x:c r="A23" s="171" t="n">
        <x:v>46281</x:v>
      </x:c>
      <x:c r="B23" s="98" t="str">
        <x:f t="shared" si="0">IF(SUM(C23:G23)=0,"",SUM(C23:G23))</x:f>
      </x:c>
      <x:c r="C23" s="99"/>
      <x:c r="D23" s="100"/>
      <x:c r="E23" s="100"/>
      <x:c r="F23" s="99" t="str">
        <x:f>IF('RETAIL &amp; PRINT'!O26="","",'RETAIL &amp; PRINT'!O26)</x:f>
      </x:c>
      <x:c r="G23" s="53" t="str">
        <x:f t="shared" si="1">IF(F23="","",F23*10%)</x:f>
      </x:c>
      <x:c r="H23" s="1"/>
      <x:c r="I23" s="1"/>
      <x:c r="J23" s="1"/>
      <x:c r="K23" s="1"/>
      <x:c r="L23" s="1"/>
      <x:c r="M23" s="1"/>
      <x:c r="N23" s="1"/>
      <x:c r="O23" s="1"/>
      <x:c r="P23" s="1"/>
    </x:row>
    <x:row r="24" ht="16.5">
      <x:c r="A24" s="171" t="n">
        <x:v>46282</x:v>
      </x:c>
      <x:c r="B24" s="98" t="str">
        <x:f t="shared" si="0">IF(SUM(C24:G24)=0,"",SUM(C24:G24))</x:f>
      </x:c>
      <x:c r="C24" s="99"/>
      <x:c r="D24" s="100"/>
      <x:c r="E24" s="100"/>
      <x:c r="F24" s="99" t="str">
        <x:f>IF('RETAIL &amp; PRINT'!O27="","",'RETAIL &amp; PRINT'!O27)</x:f>
      </x:c>
      <x:c r="G24" s="53" t="str">
        <x:f t="shared" si="1">IF(F24="","",F24*10%)</x:f>
      </x:c>
      <x:c r="H24" s="1"/>
      <x:c r="I24" s="1"/>
      <x:c r="J24" s="1"/>
      <x:c r="K24" s="1"/>
      <x:c r="L24" s="1"/>
      <x:c r="M24" s="1"/>
      <x:c r="N24" s="1"/>
      <x:c r="O24" s="1"/>
      <x:c r="P24" s="1"/>
    </x:row>
    <x:row r="25" ht="16.5">
      <x:c r="A25" s="171" t="n">
        <x:v>46283</x:v>
      </x:c>
      <x:c r="B25" s="98" t="str">
        <x:f t="shared" si="0">IF(SUM(C25:G25)=0,"",SUM(C25:G25))</x:f>
      </x:c>
      <x:c r="C25" s="99"/>
      <x:c r="D25" s="100"/>
      <x:c r="E25" s="100"/>
      <x:c r="F25" s="99" t="str">
        <x:f>IF('RETAIL &amp; PRINT'!O28="","",'RETAIL &amp; PRINT'!O28)</x:f>
      </x:c>
      <x:c r="G25" s="53" t="str">
        <x:f t="shared" si="1">IF(F25="","",F25*10%)</x:f>
      </x:c>
      <x:c r="H25" s="1"/>
      <x:c r="I25" s="34"/>
      <x:c r="J25" s="34"/>
      <x:c r="K25" s="34"/>
      <x:c r="L25" s="1"/>
      <x:c r="M25" s="1"/>
      <x:c r="N25" s="1"/>
      <x:c r="O25" s="1"/>
      <x:c r="P25" s="1"/>
    </x:row>
    <x:row r="26" ht="16.5">
      <x:c r="A26" s="171" t="n">
        <x:v>46284</x:v>
      </x:c>
      <x:c r="B26" s="98" t="str">
        <x:f t="shared" si="0">IF(SUM(C26:G26)=0,"",SUM(C26:G26))</x:f>
      </x:c>
      <x:c r="C26" s="99"/>
      <x:c r="D26" s="100"/>
      <x:c r="E26" s="100"/>
      <x:c r="F26" s="99" t="str">
        <x:f>IF('RETAIL &amp; PRINT'!O29="","",'RETAIL &amp; PRINT'!O29)</x:f>
      </x:c>
      <x:c r="G26" s="53" t="str">
        <x:f t="shared" si="1">IF(F26="","",F26*10%)</x:f>
      </x:c>
      <x:c r="H26" s="1"/>
      <x:c r="I26" s="33"/>
      <x:c r="J26" s="33"/>
      <x:c r="K26" s="33"/>
      <x:c r="L26" s="1"/>
      <x:c r="M26" s="1"/>
      <x:c r="N26" s="1"/>
      <x:c r="O26" s="1"/>
      <x:c r="P26" s="1"/>
    </x:row>
    <x:row r="27" ht="16.5">
      <x:c r="A27" s="171" t="n">
        <x:v>46285</x:v>
      </x:c>
      <x:c r="B27" s="98" t="str">
        <x:f t="shared" si="0">IF(SUM(C27:G27)=0,"",SUM(C27:G27))</x:f>
      </x:c>
      <x:c r="C27" s="99"/>
      <x:c r="D27" s="100"/>
      <x:c r="E27" s="100"/>
      <x:c r="F27" s="99" t="str">
        <x:f>IF('RETAIL &amp; PRINT'!O30="","",'RETAIL &amp; PRINT'!O30)</x:f>
      </x:c>
      <x:c r="G27" s="53" t="str">
        <x:f t="shared" si="1">IF(F27="","",F27*10%)</x:f>
      </x:c>
      <x:c r="H27" s="1"/>
      <x:c r="I27" s="34"/>
      <x:c r="J27" s="35"/>
      <x:c r="K27" s="36"/>
      <x:c r="L27" s="1"/>
      <x:c r="M27" s="1"/>
      <x:c r="N27" s="1"/>
      <x:c r="O27" s="1"/>
      <x:c r="P27" s="1"/>
    </x:row>
    <x:row r="28" ht="16.5">
      <x:c r="A28" s="171" t="n">
        <x:v>46286</x:v>
      </x:c>
      <x:c r="B28" s="98" t="str">
        <x:f t="shared" si="0">IF(SUM(C28:G28)=0,"",SUM(C28:G28))</x:f>
      </x:c>
      <x:c r="C28" s="99"/>
      <x:c r="D28" s="100"/>
      <x:c r="E28" s="100"/>
      <x:c r="F28" s="99" t="str">
        <x:f>IF('RETAIL &amp; PRINT'!O31="","",'RETAIL &amp; PRINT'!O31)</x:f>
      </x:c>
      <x:c r="G28" s="53" t="str">
        <x:f t="shared" si="1">IF(F28="","",F28*10%)</x:f>
      </x:c>
      <x:c r="H28" s="1"/>
      <x:c r="I28" s="34"/>
      <x:c r="J28" s="37"/>
      <x:c r="K28" s="36"/>
      <x:c r="L28" s="1"/>
      <x:c r="M28" s="1"/>
      <x:c r="N28" s="1"/>
      <x:c r="O28" s="1"/>
      <x:c r="P28" s="1"/>
    </x:row>
    <x:row r="29" ht="16.5">
      <x:c r="A29" s="171" t="n">
        <x:v>46287</x:v>
      </x:c>
      <x:c r="B29" s="98" t="str">
        <x:f t="shared" si="0">IF(SUM(C29:G29)=0,"",SUM(C29:G29))</x:f>
      </x:c>
      <x:c r="C29" s="99"/>
      <x:c r="D29" s="100"/>
      <x:c r="E29" s="103"/>
      <x:c r="F29" s="99" t="str">
        <x:f>IF('RETAIL &amp; PRINT'!O32="","",'RETAIL &amp; PRINT'!O32)</x:f>
      </x:c>
      <x:c r="G29" s="53" t="str">
        <x:f t="shared" si="1">IF(F29="","",F29*10%)</x:f>
      </x:c>
      <x:c r="H29" s="1"/>
      <x:c r="I29" s="1"/>
      <x:c r="J29" s="29"/>
      <x:c r="K29" s="30"/>
      <x:c r="L29" s="1"/>
      <x:c r="M29" s="1"/>
      <x:c r="N29" s="1"/>
      <x:c r="O29" s="1"/>
      <x:c r="P29" s="1"/>
    </x:row>
    <x:row r="30" ht="16.5">
      <x:c r="A30" s="171" t="n">
        <x:v>46288</x:v>
      </x:c>
      <x:c r="B30" s="98" t="str">
        <x:f t="shared" si="0">IF(SUM(C30:G30)=0,"",SUM(C30:G30))</x:f>
      </x:c>
      <x:c r="C30" s="99"/>
      <x:c r="D30" s="100"/>
      <x:c r="E30" s="100"/>
      <x:c r="F30" s="99" t="str">
        <x:f>IF('RETAIL &amp; PRINT'!O33="","",'RETAIL &amp; PRINT'!O33)</x:f>
      </x:c>
      <x:c r="G30" s="53" t="str">
        <x:f t="shared" si="1">IF(F30="","",F30*10%)</x:f>
      </x:c>
      <x:c r="H30" s="1"/>
      <x:c r="I30" s="1"/>
      <x:c r="J30" s="31"/>
      <x:c r="K30" s="30"/>
      <x:c r="L30" s="1"/>
      <x:c r="M30" s="1"/>
      <x:c r="N30" s="1"/>
      <x:c r="O30" s="1"/>
      <x:c r="P30" s="1"/>
    </x:row>
    <x:row r="31" ht="16.5">
      <x:c r="A31" s="171" t="n">
        <x:v>46289</x:v>
      </x:c>
      <x:c r="B31" s="98" t="str">
        <x:f t="shared" si="0">IF(SUM(C31:G31)=0,"",SUM(C31:G31))</x:f>
      </x:c>
      <x:c r="C31" s="99"/>
      <x:c r="D31" s="100"/>
      <x:c r="E31" s="100"/>
      <x:c r="F31" s="99" t="str">
        <x:f>IF('RETAIL &amp; PRINT'!O34="","",'RETAIL &amp; PRINT'!O34)</x:f>
      </x:c>
      <x:c r="G31" s="53" t="str">
        <x:f t="shared" si="1">IF(F31="","",F31*10%)</x:f>
      </x:c>
      <x:c r="I31" s="1"/>
      <x:c r="J31" s="29"/>
      <x:c r="K31" s="30"/>
      <x:c r="L31" s="1"/>
      <x:c r="M31" s="1"/>
      <x:c r="N31" s="1"/>
      <x:c r="O31" s="1"/>
      <x:c r="P31" s="1"/>
    </x:row>
    <x:row r="32" ht="16.5">
      <x:c r="A32" s="171" t="n">
        <x:v>46290</x:v>
      </x:c>
      <x:c r="B32" s="98" t="str">
        <x:f t="shared" si="0">IF(SUM(C32:G32)=0,"",SUM(C32:G32))</x:f>
      </x:c>
      <x:c r="C32" s="99"/>
      <x:c r="D32" s="100"/>
      <x:c r="E32" s="100"/>
      <x:c r="F32" s="99" t="str">
        <x:f>IF('RETAIL &amp; PRINT'!O35="","",'RETAIL &amp; PRINT'!O35)</x:f>
      </x:c>
      <x:c r="G32" s="53" t="str">
        <x:f t="shared" si="1">IF(F32="","",F32*10%)</x:f>
      </x:c>
      <x:c r="H32" s="1"/>
      <x:c r="I32" s="1"/>
      <x:c r="J32" s="31"/>
      <x:c r="K32" s="30"/>
      <x:c r="L32" s="1"/>
      <x:c r="M32" s="1"/>
      <x:c r="N32" s="1"/>
      <x:c r="O32" s="1"/>
      <x:c r="P32" s="1"/>
    </x:row>
    <x:row r="33" ht="16.5">
      <x:c r="A33" s="171" t="n">
        <x:v>46291</x:v>
      </x:c>
      <x:c r="B33" s="98" t="str">
        <x:f t="shared" si="0">IF(SUM(C33:G33)=0,"",SUM(C33:G33))</x:f>
      </x:c>
      <x:c r="C33" s="99"/>
      <x:c r="D33" s="100"/>
      <x:c r="E33" s="100"/>
      <x:c r="F33" s="99" t="str">
        <x:f>IF('RETAIL &amp; PRINT'!O36="","",'RETAIL &amp; PRINT'!O36)</x:f>
      </x:c>
      <x:c r="G33" s="53" t="str">
        <x:f t="shared" si="1">IF(F33="","",F33*10%)</x:f>
      </x:c>
      <x:c r="H33" s="1"/>
      <x:c r="I33" s="1"/>
      <x:c r="J33" s="32"/>
      <x:c r="K33" s="30"/>
      <x:c r="L33" s="1"/>
      <x:c r="M33" s="1"/>
      <x:c r="N33" s="1"/>
      <x:c r="O33" s="1"/>
      <x:c r="P33" s="1"/>
    </x:row>
    <x:row r="34" ht="16.5">
      <x:c r="A34" s="171" t="n">
        <x:v>46292</x:v>
      </x:c>
      <x:c r="B34" s="98" t="str">
        <x:f t="shared" si="0">IF(SUM(C34:G34)=0,"",SUM(C34:G34))</x:f>
      </x:c>
      <x:c r="C34" s="99"/>
      <x:c r="D34" s="100"/>
      <x:c r="E34" s="100"/>
      <x:c r="F34" s="99" t="str">
        <x:f>IF('RETAIL &amp; PRINT'!O37="","",'RETAIL &amp; PRINT'!O37)</x:f>
      </x:c>
      <x:c r="G34" s="53" t="str">
        <x:f t="shared" si="1">IF(F34="","",F34*10%)</x:f>
      </x:c>
      <x:c r="H34" s="1"/>
      <x:c r="I34" s="1"/>
      <x:c r="J34" s="1"/>
      <x:c r="K34" s="1"/>
      <x:c r="L34" s="1"/>
      <x:c r="M34" s="1"/>
      <x:c r="N34" s="1"/>
      <x:c r="O34" s="1"/>
      <x:c r="P34" s="1"/>
    </x:row>
    <x:row r="35" ht="16.5">
      <x:c r="A35" s="171" t="n">
        <x:v>46293</x:v>
      </x:c>
      <x:c r="B35" s="98" t="str">
        <x:f t="shared" si="0">IF(SUM(C35:G35)=0,"",SUM(C35:G35))</x:f>
      </x:c>
      <x:c r="C35" s="99"/>
      <x:c r="D35" s="100"/>
      <x:c r="E35" s="100"/>
      <x:c r="F35" s="99" t="str">
        <x:f>IF('RETAIL &amp; PRINT'!O38="","",'RETAIL &amp; PRINT'!O38)</x:f>
      </x:c>
      <x:c r="G35" s="53" t="str">
        <x:f t="shared" si="1">IF(F35="","",F35*10%)</x:f>
      </x:c>
      <x:c r="H35" s="1"/>
      <x:c r="I35" s="1"/>
      <x:c r="J35" s="1"/>
      <x:c r="K35" s="1"/>
      <x:c r="L35" s="1"/>
      <x:c r="M35" s="1"/>
      <x:c r="N35" s="1"/>
      <x:c r="O35" s="1"/>
      <x:c r="P35" s="1"/>
    </x:row>
    <x:row r="36" ht="16.5">
      <x:c r="A36" s="171" t="n">
        <x:v>46294</x:v>
      </x:c>
      <x:c r="B36" s="98" t="str">
        <x:f>IF(SUM(C36:G36)=0,"",SUM(C36:G36))</x:f>
      </x:c>
      <x:c r="C36" s="99"/>
      <x:c r="D36" s="100"/>
      <x:c r="E36" s="100"/>
      <x:c r="F36" s="99" t="str">
        <x:f>IF('RETAIL &amp; PRINT'!O39="","",'RETAIL &amp; PRINT'!O39)</x:f>
      </x:c>
      <x:c r="G36" s="53" t="str">
        <x:f t="shared" si="1">IF(F36="","",F36*10%)</x:f>
      </x:c>
      <x:c r="H36" s="1"/>
      <x:c r="I36" s="1"/>
      <x:c r="J36" s="1"/>
      <x:c r="K36" s="1"/>
      <x:c r="L36" s="1"/>
      <x:c r="M36" s="1"/>
      <x:c r="N36" s="1"/>
      <x:c r="O36" s="1"/>
      <x:c r="P36" s="1"/>
    </x:row>
    <x:row r="37" ht="16.5">
      <x:c r="A37" s="171" t="n">
        <x:v>46295</x:v>
      </x:c>
      <x:c r="B37" s="98" t="str">
        <x:f>IF(SUM(C37:G37)=0,"",SUM(C37:G37))</x:f>
      </x:c>
      <x:c r="C37" s="99"/>
      <x:c r="D37" s="100"/>
      <x:c r="E37" s="100"/>
      <x:c r="F37" s="99" t="str">
        <x:f>IF('RETAIL &amp; PRINT'!O40="","",'RETAIL &amp; PRINT'!O40)</x:f>
      </x:c>
      <x:c r="G37" s="53" t="str">
        <x:f t="shared" si="1">IF(F37="","",F37*10%)</x:f>
      </x:c>
      <x:c r="H37" s="1"/>
      <x:c r="I37" s="1"/>
      <x:c r="J37" s="1"/>
      <x:c r="K37" s="1"/>
      <x:c r="L37" s="1"/>
      <x:c r="M37" s="1"/>
      <x:c r="N37" s="1"/>
      <x:c r="O37" s="1"/>
      <x:c r="P37" s="1"/>
    </x:row>
    <x:row r="38" ht="16.5">
      <x:c r="A38" s="171"/>
      <x:c r="B38" s="98" t="str">
        <x:f>IF(SUM(C38:G38)=0,"",SUM(C38:G38))</x:f>
      </x:c>
      <x:c r="C38" s="99"/>
      <x:c r="D38" s="100"/>
      <x:c r="E38" s="100"/>
      <x:c r="F38" s="99" t="str">
        <x:f>IF('RETAIL &amp; PRINT'!O41="","",'RETAIL &amp; PRINT'!O41)</x:f>
      </x:c>
      <x:c r="G38" s="53" t="str">
        <x:f>IF(F38="","",F38*10%)</x:f>
      </x:c>
      <x:c r="H38" s="1"/>
      <x:c r="I38" s="1"/>
      <x:c r="J38" s="1"/>
      <x:c r="K38" s="1"/>
      <x:c r="L38" s="1"/>
      <x:c r="M38" s="1"/>
      <x:c r="N38" s="1"/>
      <x:c r="O38" s="1"/>
      <x:c r="P38" s="1"/>
    </x:row>
    <x:row r="39" ht="16.5">
      <x:c r="A39" s="51"/>
      <x:c r="B39" s="75" t="str">
        <x:f t="shared" ref="B39:G39" si="2">IF(SUM(B8:B38)=0,"",SUM(B8:B38))</x:f>
      </x:c>
      <x:c r="C39" s="75" t="str">
        <x:f t="shared" si="2">IF(SUM(C8:C38)=0,"",SUM(C8:C38))</x:f>
      </x:c>
      <x:c r="D39" s="75" t="str">
        <x:f t="shared" si="2">IF(SUM(D8:D38)=0,"",SUM(D8:D38))</x:f>
      </x:c>
      <x:c r="E39" s="75" t="str">
        <x:f t="shared" si="2">IF(SUM(E8:E38)=0,"",SUM(E8:E38))</x:f>
      </x:c>
      <x:c r="F39" s="75" t="str">
        <x:f t="shared" si="2">IF(SUM(F8:F38)=0,"",SUM(F8:F38))</x:f>
      </x:c>
      <x:c r="G39" s="75" t="str">
        <x:f t="shared" si="2">IF(SUM(G8:G38)=0,"",SUM(G8:G38))</x:f>
      </x:c>
      <x:c r="H39" s="1"/>
      <x:c r="I39" s="1"/>
      <x:c r="J39" s="1"/>
      <x:c r="K39" s="1"/>
      <x:c r="L39" s="1"/>
      <x:c r="M39" s="1"/>
      <x:c r="N39" s="1"/>
      <x:c r="O39" s="1"/>
      <x:c r="P39" s="1"/>
    </x:row>
    <x:row r="40" ht="16.5">
      <x:c r="A40" s="51"/>
      <x:c r="B40" s="66" t="str">
        <x:f>IF(B39="","",B39)</x:f>
      </x:c>
      <x:c r="C40" s="67" t="str">
        <x:f>IF(C39="","",C39)</x:f>
      </x:c>
      <x:c r="D40" s="107" t="str">
        <x:f>IF(SUM(D39:E39)=0,"",SUM(D39:E39))</x:f>
      </x:c>
      <x:c r="E40" s="108"/>
      <x:c r="F40" s="142" t="str">
        <x:f>IF(SUM(F39:G39)=0,"",SUM(F39:G39))</x:f>
      </x:c>
      <x:c r="G40" s="143"/>
      <x:c r="H40" s="1"/>
      <x:c r="I40" s="1"/>
      <x:c r="J40" s="1"/>
      <x:c r="K40" s="1"/>
      <x:c r="L40" s="1"/>
      <x:c r="M40" s="1"/>
      <x:c r="N40" s="1"/>
      <x:c r="O40" s="1"/>
      <x:c r="P40" s="1"/>
    </x:row>
    <x:row r="41" ht="16.5">
      <x:c r="B41" s="11"/>
      <x:c r="C41" s="1"/>
      <x:c r="D41" s="19"/>
      <x:c r="E41" s="19"/>
      <x:c r="F41" s="12"/>
      <x:c r="G41" s="13"/>
      <x:c r="H41" s="1"/>
      <x:c r="I41" s="1"/>
      <x:c r="J41" s="1"/>
      <x:c r="K41" s="1"/>
      <x:c r="L41" s="1"/>
      <x:c r="M41" s="1"/>
      <x:c r="N41" s="1"/>
      <x:c r="O41" s="1"/>
      <x:c r="P41" s="1"/>
    </x:row>
    <x:row r="42" ht="16.5">
      <x:c r="B42" s="11"/>
      <x:c r="C42" s="1"/>
      <x:c r="D42" s="19"/>
      <x:c r="E42" s="19"/>
      <x:c r="F42" s="12"/>
      <x:c r="G42" s="25"/>
      <x:c r="H42" s="1"/>
      <x:c r="I42" s="1"/>
      <x:c r="J42" s="1"/>
      <x:c r="K42" s="1"/>
      <x:c r="L42" s="1"/>
      <x:c r="M42" s="1"/>
      <x:c r="N42" s="1"/>
      <x:c r="O42" s="1"/>
      <x:c r="P42" s="1"/>
    </x:row>
    <x:row r="43" ht="16.5">
      <x:c r="B43" s="11"/>
      <x:c r="C43" s="27"/>
      <x:c r="D43" s="19"/>
      <x:c r="E43" s="19"/>
      <x:c r="F43" s="12"/>
      <x:c r="G43" s="13"/>
      <x:c r="H43" s="1"/>
      <x:c r="I43" s="1"/>
      <x:c r="J43" s="1"/>
      <x:c r="K43" s="1"/>
      <x:c r="L43" s="1"/>
      <x:c r="M43" s="1"/>
      <x:c r="N43" s="1"/>
      <x:c r="O43" s="1"/>
      <x:c r="P43" s="1"/>
    </x:row>
    <x:row r="44" ht="16.5">
      <x:c r="B44" s="11"/>
      <x:c r="C44" s="27"/>
      <x:c r="D44" s="19"/>
      <x:c r="E44" s="19"/>
      <x:c r="F44" s="12"/>
      <x:c r="G44" s="13"/>
      <x:c r="H44" s="1"/>
      <x:c r="I44" s="1"/>
      <x:c r="J44" s="1"/>
      <x:c r="K44" s="1"/>
      <x:c r="L44" s="1"/>
      <x:c r="M44" s="1"/>
      <x:c r="N44" s="1"/>
      <x:c r="O44" s="1"/>
      <x:c r="P44" s="1"/>
    </x:row>
    <x:row r="45" ht="16.5">
      <x:c r="B45" s="11"/>
      <x:c r="C45" s="27"/>
      <x:c r="D45" s="19"/>
      <x:c r="E45" s="19"/>
      <x:c r="F45" s="12"/>
      <x:c r="G45" s="13"/>
      <x:c r="H45" s="1"/>
      <x:c r="I45" s="1"/>
      <x:c r="J45" s="1"/>
      <x:c r="K45" s="1"/>
      <x:c r="L45" s="1"/>
      <x:c r="M45" s="1"/>
      <x:c r="N45" s="1"/>
      <x:c r="O45" s="1"/>
      <x:c r="P45" s="1"/>
    </x:row>
    <x:row r="46" ht="16.5">
      <x:c r="B46" s="11"/>
      <x:c r="C46" s="1"/>
      <x:c r="D46" s="19"/>
      <x:c r="E46" s="19"/>
      <x:c r="F46" s="12"/>
      <x:c r="G46" s="13"/>
      <x:c r="H46" s="1"/>
      <x:c r="I46" s="1"/>
      <x:c r="J46" s="1"/>
      <x:c r="K46" s="1"/>
      <x:c r="L46" s="1"/>
      <x:c r="M46" s="1"/>
      <x:c r="N46" s="1"/>
      <x:c r="O46" s="1"/>
      <x:c r="P46" s="1"/>
    </x:row>
    <x:row r="47" ht="16.5">
      <x:c r="B47" s="11"/>
      <x:c r="C47" s="1"/>
      <x:c r="D47" s="19"/>
      <x:c r="E47" s="19"/>
      <x:c r="F47" s="12"/>
      <x:c r="G47" s="13"/>
      <x:c r="H47" s="1"/>
      <x:c r="I47" s="1"/>
      <x:c r="J47" s="1"/>
      <x:c r="K47" s="1"/>
      <x:c r="L47" s="1"/>
      <x:c r="M47" s="1"/>
      <x:c r="N47" s="1"/>
      <x:c r="O47" s="1"/>
      <x:c r="P47" s="1"/>
    </x:row>
    <x:row r="48" ht="16.5">
      <x:c r="B48" s="11"/>
      <x:c r="C48" s="1"/>
      <x:c r="D48" s="19"/>
      <x:c r="E48" s="19"/>
      <x:c r="F48" s="12"/>
      <x:c r="G48" s="13"/>
      <x:c r="H48" s="1"/>
      <x:c r="I48" s="1"/>
      <x:c r="J48" s="1"/>
      <x:c r="K48" s="1"/>
      <x:c r="L48" s="1"/>
      <x:c r="M48" s="1"/>
      <x:c r="N48" s="1"/>
      <x:c r="O48" s="1"/>
      <x:c r="P48" s="1"/>
    </x:row>
    <x:row r="49" ht="16.5">
      <x:c r="B49" s="11"/>
      <x:c r="C49" s="1"/>
      <x:c r="D49" s="19"/>
      <x:c r="E49" s="19"/>
      <x:c r="F49" s="12"/>
      <x:c r="G49" s="13"/>
      <x:c r="H49" s="1"/>
      <x:c r="I49" s="1"/>
      <x:c r="J49" s="1"/>
      <x:c r="K49" s="1"/>
      <x:c r="L49" s="1"/>
      <x:c r="M49" s="1"/>
      <x:c r="N49" s="1"/>
      <x:c r="O49" s="1"/>
      <x:c r="P49" s="1"/>
    </x:row>
    <x:row r="50" ht="16.5">
      <x:c r="A50"/>
      <x:c r="B50" s="11"/>
      <x:c r="C50" s="1"/>
      <x:c r="D50" s="19"/>
      <x:c r="E50" s="19"/>
      <x:c r="F50" s="12"/>
      <x:c r="G50" s="13"/>
      <x:c r="H50" s="1"/>
      <x:c r="I50" s="1"/>
      <x:c r="J50" s="1"/>
      <x:c r="K50" s="1"/>
      <x:c r="L50" s="1"/>
      <x:c r="M50" s="1"/>
      <x:c r="N50" s="1"/>
      <x:c r="O50" s="1"/>
      <x:c r="P50" s="1"/>
    </x:row>
    <x:row r="51" ht="16.5">
      <x:c r="A51"/>
      <x:c r="B51" s="11"/>
      <x:c r="C51" s="1"/>
      <x:c r="D51" s="19"/>
      <x:c r="E51" s="19"/>
      <x:c r="F51" s="12"/>
      <x:c r="G51" s="13"/>
      <x:c r="H51" s="1"/>
      <x:c r="I51" s="1"/>
      <x:c r="J51" s="1"/>
      <x:c r="K51" s="1"/>
      <x:c r="L51" s="1"/>
      <x:c r="M51" s="1"/>
      <x:c r="N51" s="1"/>
      <x:c r="O51" s="1"/>
      <x:c r="P51" s="1"/>
    </x:row>
    <x:row r="52" ht="16.5">
      <x:c r="A52"/>
      <x:c r="B52" s="11"/>
      <x:c r="C52" s="1"/>
      <x:c r="D52" s="19"/>
      <x:c r="E52" s="19"/>
      <x:c r="F52" s="12"/>
      <x:c r="G52" s="13"/>
      <x:c r="H52" s="1"/>
      <x:c r="I52" s="1"/>
      <x:c r="J52" s="1"/>
      <x:c r="K52" s="1"/>
      <x:c r="L52" s="1"/>
      <x:c r="M52" s="1"/>
      <x:c r="N52" s="1"/>
      <x:c r="O52" s="1"/>
      <x:c r="P52" s="1"/>
    </x:row>
    <x:row r="53" ht="16.5">
      <x:c r="A53"/>
      <x:c r="B53" s="11"/>
      <x:c r="C53" s="1"/>
      <x:c r="D53" s="19"/>
      <x:c r="E53" s="19"/>
      <x:c r="F53" s="12"/>
      <x:c r="G53" s="13"/>
      <x:c r="H53" s="1"/>
      <x:c r="I53" s="1"/>
      <x:c r="J53" s="1"/>
      <x:c r="K53" s="1"/>
      <x:c r="L53" s="1"/>
      <x:c r="M53" s="1"/>
      <x:c r="N53" s="1"/>
      <x:c r="O53" s="1"/>
      <x:c r="P53" s="1"/>
    </x:row>
    <x:row r="54" ht="16.5">
      <x:c r="A54"/>
      <x:c r="B54" s="11"/>
      <x:c r="C54" s="1"/>
      <x:c r="D54" s="19"/>
      <x:c r="E54" s="19"/>
      <x:c r="F54" s="12"/>
      <x:c r="G54" s="13"/>
      <x:c r="H54" s="1"/>
      <x:c r="I54" s="1"/>
      <x:c r="J54" s="1"/>
      <x:c r="K54" s="1"/>
      <x:c r="L54" s="1"/>
      <x:c r="M54" s="1"/>
      <x:c r="N54" s="1"/>
      <x:c r="O54" s="1"/>
      <x:c r="P54" s="1"/>
    </x:row>
    <x:row r="55" ht="16.5">
      <x:c r="A55"/>
      <x:c r="B55" s="11"/>
      <x:c r="C55" s="1"/>
      <x:c r="D55" s="19"/>
      <x:c r="E55" s="19"/>
      <x:c r="F55" s="12"/>
      <x:c r="G55" s="13"/>
      <x:c r="H55" s="1"/>
      <x:c r="I55" s="1"/>
      <x:c r="J55" s="1"/>
      <x:c r="K55" s="1"/>
      <x:c r="L55" s="1"/>
      <x:c r="M55" s="1"/>
      <x:c r="N55" s="1"/>
      <x:c r="O55" s="1"/>
      <x:c r="P55" s="1"/>
    </x:row>
    <x:row r="56" ht="16.5">
      <x:c r="A56"/>
      <x:c r="B56" s="11"/>
      <x:c r="C56" s="1"/>
      <x:c r="D56" s="19"/>
      <x:c r="E56" s="19"/>
      <x:c r="F56" s="12"/>
      <x:c r="G56" s="13"/>
      <x:c r="H56" s="1"/>
      <x:c r="I56" s="1"/>
      <x:c r="J56" s="1"/>
      <x:c r="K56" s="1"/>
      <x:c r="L56" s="1"/>
      <x:c r="M56" s="1"/>
      <x:c r="N56" s="1"/>
      <x:c r="O56" s="1"/>
      <x:c r="P56" s="1"/>
    </x:row>
    <x:row r="57" ht="16.5">
      <x:c r="A57"/>
      <x:c r="B57" s="11"/>
      <x:c r="C57" s="1"/>
      <x:c r="D57" s="19"/>
      <x:c r="E57" s="19"/>
      <x:c r="F57" s="12"/>
      <x:c r="G57" s="13"/>
      <x:c r="H57" s="1"/>
      <x:c r="I57" s="1"/>
      <x:c r="J57" s="1"/>
      <x:c r="K57" s="1"/>
      <x:c r="L57" s="1"/>
      <x:c r="M57" s="1"/>
      <x:c r="N57" s="1"/>
      <x:c r="O57" s="1"/>
      <x:c r="P57" s="1"/>
    </x:row>
    <x:row r="58" ht="16.5">
      <x:c r="A58"/>
      <x:c r="B58" s="11"/>
      <x:c r="C58" s="1"/>
      <x:c r="D58" s="19"/>
      <x:c r="E58" s="19"/>
      <x:c r="F58" s="12"/>
      <x:c r="G58" s="13"/>
      <x:c r="H58" s="1"/>
      <x:c r="I58" s="1"/>
      <x:c r="J58" s="1"/>
      <x:c r="K58" s="1"/>
      <x:c r="L58" s="1"/>
      <x:c r="M58" s="1"/>
      <x:c r="N58" s="1"/>
      <x:c r="O58" s="1"/>
      <x:c r="P58" s="1"/>
    </x:row>
    <x:row r="59" ht="16.5">
      <x:c r="A59"/>
      <x:c r="B59" s="11"/>
      <x:c r="C59" s="1"/>
      <x:c r="D59" s="19"/>
      <x:c r="E59" s="19"/>
      <x:c r="F59" s="12"/>
      <x:c r="G59" s="13"/>
      <x:c r="H59" s="1"/>
      <x:c r="I59" s="1"/>
      <x:c r="J59" s="1"/>
      <x:c r="K59" s="1"/>
      <x:c r="L59" s="1"/>
      <x:c r="M59" s="1"/>
      <x:c r="N59" s="1"/>
      <x:c r="O59" s="1"/>
      <x:c r="P59" s="1"/>
    </x:row>
    <x:row r="60" ht="16.5">
      <x:c r="A60"/>
      <x:c r="B60" s="11"/>
      <x:c r="C60" s="1"/>
      <x:c r="D60" s="19"/>
      <x:c r="E60" s="19"/>
      <x:c r="F60" s="12"/>
      <x:c r="G60" s="13"/>
      <x:c r="H60" s="1"/>
      <x:c r="I60" s="1"/>
      <x:c r="J60" s="1"/>
      <x:c r="K60" s="1"/>
      <x:c r="L60" s="1"/>
      <x:c r="M60" s="1"/>
      <x:c r="N60" s="1"/>
      <x:c r="O60" s="1"/>
      <x:c r="P60" s="1"/>
    </x:row>
    <x:row r="61" ht="16.5">
      <x:c r="A61"/>
      <x:c r="B61" s="11"/>
      <x:c r="C61" s="1"/>
      <x:c r="D61" s="19"/>
      <x:c r="E61" s="19"/>
      <x:c r="F61" s="12"/>
      <x:c r="G61" s="13"/>
      <x:c r="H61" s="1"/>
      <x:c r="I61" s="1"/>
      <x:c r="J61" s="1"/>
      <x:c r="K61" s="1"/>
      <x:c r="L61" s="1"/>
      <x:c r="M61" s="1"/>
      <x:c r="N61" s="1"/>
      <x:c r="O61" s="1"/>
      <x:c r="P61" s="1"/>
    </x:row>
    <x:row r="62" ht="16.5">
      <x:c r="A62"/>
      <x:c r="B62" s="11"/>
      <x:c r="C62" s="1"/>
      <x:c r="D62" s="19"/>
      <x:c r="E62" s="19"/>
      <x:c r="F62" s="12"/>
      <x:c r="G62" s="13"/>
      <x:c r="H62" s="1"/>
      <x:c r="I62" s="1"/>
      <x:c r="J62" s="1"/>
      <x:c r="K62" s="1"/>
      <x:c r="L62" s="1"/>
      <x:c r="M62" s="1"/>
      <x:c r="N62" s="1"/>
      <x:c r="O62" s="1"/>
      <x:c r="P62" s="1"/>
    </x:row>
    <x:row r="63" ht="16.5">
      <x:c r="A63"/>
      <x:c r="B63" s="11"/>
      <x:c r="C63" s="1"/>
      <x:c r="D63" s="19"/>
      <x:c r="E63" s="19"/>
      <x:c r="F63" s="12"/>
      <x:c r="G63" s="13"/>
      <x:c r="H63" s="1"/>
      <x:c r="I63" s="1"/>
      <x:c r="J63" s="1"/>
      <x:c r="K63" s="1"/>
      <x:c r="L63" s="1"/>
      <x:c r="M63" s="1"/>
      <x:c r="N63" s="1"/>
      <x:c r="O63" s="1"/>
      <x:c r="P63" s="1"/>
    </x:row>
    <x:row r="64" ht="16.5">
      <x:c r="A64"/>
      <x:c r="B64" s="11"/>
      <x:c r="C64" s="1"/>
      <x:c r="D64" s="19"/>
      <x:c r="E64" s="19"/>
      <x:c r="F64" s="12"/>
      <x:c r="G64" s="13"/>
      <x:c r="H64" s="1"/>
      <x:c r="I64" s="1"/>
      <x:c r="J64" s="1"/>
      <x:c r="K64" s="1"/>
      <x:c r="L64" s="1"/>
      <x:c r="M64" s="1"/>
      <x:c r="N64" s="1"/>
      <x:c r="O64" s="1"/>
      <x:c r="P64" s="1"/>
    </x:row>
    <x:row r="65" ht="16.5">
      <x:c r="A65"/>
      <x:c r="B65" s="11"/>
      <x:c r="C65" s="1"/>
      <x:c r="D65" s="19"/>
      <x:c r="E65" s="19"/>
      <x:c r="F65" s="12"/>
      <x:c r="G65" s="13"/>
      <x:c r="H65" s="1"/>
      <x:c r="I65" s="1"/>
      <x:c r="J65" s="1"/>
      <x:c r="K65" s="1"/>
      <x:c r="L65" s="1"/>
      <x:c r="M65" s="1"/>
      <x:c r="N65" s="1"/>
      <x:c r="O65" s="1"/>
      <x:c r="P65" s="1"/>
    </x:row>
    <x:row r="66" ht="16.5">
      <x:c r="A66"/>
      <x:c r="B66" s="11"/>
      <x:c r="C66" s="1"/>
      <x:c r="D66" s="19"/>
      <x:c r="E66" s="19"/>
      <x:c r="F66" s="12"/>
      <x:c r="G66" s="13"/>
      <x:c r="H66" s="1"/>
      <x:c r="I66" s="1"/>
      <x:c r="J66" s="1"/>
      <x:c r="K66" s="1"/>
      <x:c r="L66" s="1"/>
      <x:c r="M66" s="1"/>
      <x:c r="N66" s="1"/>
      <x:c r="O66" s="1"/>
      <x:c r="P66" s="1"/>
    </x:row>
    <x:row r="67" ht="16.5">
      <x:c r="A67"/>
      <x:c r="B67" s="11"/>
      <x:c r="C67" s="1"/>
      <x:c r="D67" s="19"/>
      <x:c r="E67" s="19"/>
      <x:c r="F67" s="12"/>
      <x:c r="G67" s="13"/>
      <x:c r="H67" s="1"/>
      <x:c r="I67" s="1"/>
      <x:c r="J67" s="1"/>
      <x:c r="K67" s="1"/>
      <x:c r="L67" s="1"/>
      <x:c r="M67" s="1"/>
      <x:c r="N67" s="1"/>
      <x:c r="O67" s="1"/>
      <x:c r="P67" s="1"/>
    </x:row>
    <x:row r="68" ht="16.5">
      <x:c r="A68"/>
      <x:c r="B68" s="11"/>
      <x:c r="C68" s="1"/>
      <x:c r="D68" s="19"/>
      <x:c r="E68" s="19"/>
      <x:c r="F68" s="12"/>
      <x:c r="G68" s="13"/>
      <x:c r="H68" s="1"/>
      <x:c r="I68" s="1"/>
      <x:c r="J68" s="1"/>
      <x:c r="K68" s="1"/>
      <x:c r="L68" s="1"/>
      <x:c r="M68" s="1"/>
      <x:c r="N68" s="1"/>
      <x:c r="O68" s="1"/>
      <x:c r="P68" s="1"/>
    </x:row>
    <x:row r="69" ht="16.5">
      <x:c r="A69"/>
      <x:c r="B69" s="11"/>
      <x:c r="C69" s="1"/>
      <x:c r="D69" s="19"/>
      <x:c r="E69" s="19"/>
      <x:c r="F69" s="12"/>
      <x:c r="G69" s="13"/>
      <x:c r="H69" s="1"/>
      <x:c r="I69" s="1"/>
      <x:c r="J69" s="1"/>
      <x:c r="K69" s="1"/>
      <x:c r="L69" s="1"/>
      <x:c r="M69" s="1"/>
      <x:c r="N69" s="1"/>
      <x:c r="O69" s="1"/>
      <x:c r="P69" s="1"/>
    </x:row>
    <x:row r="70" ht="16.5">
      <x:c r="A70"/>
      <x:c r="B70" s="11"/>
      <x:c r="C70" s="1"/>
      <x:c r="D70" s="19"/>
      <x:c r="E70" s="19"/>
      <x:c r="F70" s="12"/>
      <x:c r="G70" s="13"/>
      <x:c r="H70" s="1"/>
      <x:c r="I70" s="1"/>
      <x:c r="J70" s="1"/>
      <x:c r="K70" s="1"/>
      <x:c r="L70" s="1"/>
      <x:c r="M70" s="1"/>
      <x:c r="N70" s="1"/>
      <x:c r="O70" s="1"/>
      <x:c r="P70" s="1"/>
    </x:row>
    <x:row r="71" ht="16.5">
      <x:c r="A71"/>
      <x:c r="B71" s="11"/>
      <x:c r="C71" s="1"/>
      <x:c r="D71" s="19"/>
      <x:c r="E71" s="19"/>
      <x:c r="F71" s="12"/>
      <x:c r="G71" s="13"/>
      <x:c r="H71" s="1"/>
      <x:c r="I71" s="1"/>
      <x:c r="J71" s="1"/>
      <x:c r="K71" s="1"/>
      <x:c r="L71" s="1"/>
      <x:c r="M71" s="1"/>
      <x:c r="N71" s="1"/>
      <x:c r="O71" s="1"/>
      <x:c r="P71" s="1"/>
    </x:row>
    <x:row r="72" ht="16.5">
      <x:c r="A72"/>
      <x:c r="B72" s="11"/>
      <x:c r="C72" s="1"/>
      <x:c r="D72" s="19"/>
      <x:c r="E72" s="19"/>
      <x:c r="F72" s="12"/>
      <x:c r="G72" s="13"/>
      <x:c r="H72" s="1"/>
      <x:c r="I72" s="1"/>
      <x:c r="J72" s="1"/>
      <x:c r="K72" s="1"/>
      <x:c r="L72" s="1"/>
      <x:c r="M72" s="1"/>
      <x:c r="N72" s="1"/>
      <x:c r="O72" s="1"/>
      <x:c r="P72" s="1"/>
    </x:row>
    <x:row r="73" ht="16.5">
      <x:c r="A73"/>
      <x:c r="B73" s="11"/>
      <x:c r="C73" s="1"/>
      <x:c r="D73" s="19"/>
      <x:c r="E73" s="19"/>
      <x:c r="F73" s="12"/>
      <x:c r="G73" s="13"/>
      <x:c r="H73" s="1"/>
      <x:c r="I73" s="1"/>
      <x:c r="J73" s="1"/>
      <x:c r="K73" s="1"/>
      <x:c r="L73" s="1"/>
      <x:c r="M73" s="1"/>
      <x:c r="N73" s="1"/>
      <x:c r="O73" s="1"/>
      <x:c r="P73" s="1"/>
    </x:row>
    <x:row r="74" ht="16.5">
      <x:c r="A74"/>
      <x:c r="B74" s="11"/>
      <x:c r="C74" s="1"/>
      <x:c r="D74" s="19"/>
      <x:c r="E74" s="19"/>
      <x:c r="F74" s="12"/>
      <x:c r="G74" s="13"/>
      <x:c r="H74" s="1"/>
      <x:c r="I74" s="1"/>
      <x:c r="J74" s="1"/>
      <x:c r="K74" s="1"/>
      <x:c r="L74" s="1"/>
      <x:c r="M74" s="1"/>
      <x:c r="N74" s="1"/>
      <x:c r="O74" s="1"/>
      <x:c r="P74" s="1"/>
    </x:row>
    <x:row r="75" ht="16.5">
      <x:c r="A75"/>
      <x:c r="B75" s="11"/>
      <x:c r="C75" s="1"/>
      <x:c r="D75" s="19"/>
      <x:c r="E75" s="19"/>
      <x:c r="F75" s="12"/>
      <x:c r="G75" s="13"/>
      <x:c r="H75" s="1"/>
      <x:c r="I75" s="1"/>
      <x:c r="J75" s="1"/>
      <x:c r="K75" s="1"/>
      <x:c r="L75" s="1"/>
      <x:c r="M75" s="1"/>
      <x:c r="N75" s="1"/>
      <x:c r="O75" s="1"/>
      <x:c r="P75" s="1"/>
    </x:row>
    <x:row r="76" ht="16.5">
      <x:c r="A76"/>
      <x:c r="B76" s="11"/>
      <x:c r="C76" s="1"/>
      <x:c r="D76" s="19"/>
      <x:c r="E76" s="19"/>
      <x:c r="F76" s="12"/>
      <x:c r="G76" s="13"/>
      <x:c r="H76" s="1"/>
      <x:c r="I76" s="1"/>
      <x:c r="J76" s="1"/>
      <x:c r="K76" s="1"/>
      <x:c r="L76" s="1"/>
      <x:c r="M76" s="1"/>
      <x:c r="N76" s="1"/>
      <x:c r="O76" s="1"/>
      <x:c r="P76" s="1"/>
    </x:row>
    <x:row r="77" ht="16.5">
      <x:c r="A77"/>
      <x:c r="B77" s="11"/>
      <x:c r="C77" s="1"/>
      <x:c r="D77" s="19"/>
      <x:c r="E77" s="19"/>
      <x:c r="F77" s="12"/>
      <x:c r="G77" s="13"/>
      <x:c r="H77" s="1"/>
      <x:c r="I77" s="1"/>
      <x:c r="J77" s="1"/>
      <x:c r="K77" s="1"/>
      <x:c r="L77" s="1"/>
      <x:c r="M77" s="1"/>
      <x:c r="N77" s="1"/>
      <x:c r="O77" s="1"/>
      <x:c r="P77" s="1"/>
    </x:row>
    <x:row r="78" ht="16.5">
      <x:c r="A78"/>
      <x:c r="B78" s="11"/>
      <x:c r="C78" s="1"/>
      <x:c r="D78" s="19"/>
      <x:c r="E78" s="19"/>
      <x:c r="F78" s="12"/>
      <x:c r="G78" s="13"/>
      <x:c r="H78" s="1"/>
      <x:c r="I78" s="1"/>
      <x:c r="J78" s="1"/>
      <x:c r="K78" s="1"/>
      <x:c r="L78" s="1"/>
      <x:c r="M78" s="1"/>
      <x:c r="N78" s="1"/>
      <x:c r="O78" s="1"/>
      <x:c r="P78" s="1"/>
    </x:row>
  </x:sheetData>
  <x:mergeCells>
    <x:mergeCell ref="D5:E5"/>
    <x:mergeCell ref="F5:G5"/>
    <x:mergeCell ref="I5:K5"/>
    <x:mergeCell ref="F40:G40"/>
  </x:mergeCells>
  <x:pageMargins left="0.7" right="0.7" top="0.75" bottom="0.75" header="0.3" footer="0.3"/>
  <x:drawing xmlns:r="http://schemas.openxmlformats.org/officeDocument/2006/relationships" r:id="Rb647245872ef47a9"/>
</x:worksheet>
</file>

<file path=xl/worksheets/sheet22.xml><?xml version="1.0" encoding="utf-8"?>
<x:worksheet xmlns:x="http://schemas.openxmlformats.org/spreadsheetml/2006/main">
  <x:sheetPr>
    <x:tabColor theme="5"/>
  </x:sheetPr>
  <x:sheetFormatPr defaultRowHeight="15"/>
  <x:cols>
    <x:col min="1" max="1" width="13.42578125" style="14" customWidth="1"/>
    <x:col min="2" max="2" width="16.42578125" style="6" customWidth="1"/>
    <x:col min="3" max="3" width="19" customWidth="1"/>
    <x:col min="4" max="4" width="16.85546875" style="20" customWidth="1"/>
    <x:col min="5" max="5" width="22.140625" style="20" customWidth="1"/>
    <x:col min="6" max="6" width="29.5703125" customWidth="1"/>
    <x:col min="7" max="7" width="11.42578125" customWidth="1"/>
    <x:col min="8" max="8" width="13.140625" customWidth="1"/>
  </x:cols>
  <x:sheetData>
    <x:row r="1" ht="50.25" customHeight="1"/>
    <x:row r="2" ht="18">
      <x:c r="A2" s="16" t="str">
        <x:v>DAILY SALES  - SEPTEMBER 2026 (THIRD PARD)</x:v>
      </x:c>
      <x:c r="B2" s="16"/>
      <x:c r="C2" s="16"/>
      <x:c r="D2" s="18"/>
      <x:c r="F2" s="20"/>
      <x:c r="G2" s="16"/>
      <x:c r="H2" s="16"/>
      <x:c r="I2" s="16"/>
      <x:c r="J2" s="16"/>
      <x:c r="K2" s="16"/>
      <x:c r="L2" s="16"/>
      <x:c r="M2" s="16"/>
      <x:c r="N2" s="16"/>
      <x:c r="O2" s="16"/>
    </x:row>
    <x:row r="3" ht="18">
      <x:c r="B3" s="24"/>
      <x:c r="C3" s="24"/>
      <x:c r="D3" s="18"/>
      <x:c r="E3" s="18"/>
      <x:c r="F3" s="24"/>
      <x:c r="G3" s="24"/>
      <x:c r="H3" s="24"/>
      <x:c r="I3" s="24"/>
      <x:c r="J3" s="24"/>
      <x:c r="K3" s="24"/>
      <x:c r="L3" s="24"/>
      <x:c r="M3" s="24"/>
      <x:c r="N3" s="24"/>
      <x:c r="O3" s="24"/>
    </x:row>
    <x:row r="4" ht="16.5">
      <x:c r="B4" s="11"/>
      <x:c r="C4" s="1"/>
      <x:c r="D4" s="19"/>
      <x:c r="E4" s="19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16.5">
      <x:c r="A5" s="21" t="s">
        <x:v>21</x:v>
      </x:c>
      <x:c r="B5" s="22" t="s">
        <x:v>22</x:v>
      </x:c>
      <x:c r="C5" s="106" t="s">
        <x:v>31</x:v>
      </x:c>
      <x:c r="D5" s="106" t="s">
        <x:v>32</x:v>
      </x:c>
      <x:c r="E5" s="106" t="s">
        <x:v>33</x:v>
      </x:c>
      <x:c r="F5" s="2"/>
      <x:c r="G5" s="135" t="s">
        <x:v>26</x:v>
      </x:c>
      <x:c r="H5" s="135"/>
      <x:c r="I5" s="135"/>
      <x:c r="N5" s="1"/>
      <x:c r="O5" s="1"/>
    </x:row>
    <x:row r="6" ht="16.5">
      <x:c r="A6" s="21"/>
      <x:c r="B6" s="22"/>
      <x:c r="C6" s="23"/>
      <x:c r="D6" s="69"/>
      <x:c r="E6" s="69" t="s">
        <x:v>39</x:v>
      </x:c>
      <x:c r="F6" s="2"/>
      <x:c r="G6" s="17"/>
      <x:c r="H6" s="17"/>
      <x:c r="I6" s="17"/>
      <x:c r="N6" s="1"/>
      <x:c r="O6" s="1"/>
    </x:row>
    <x:row r="7" ht="16.5">
      <x:c r="A7" s="15"/>
      <x:c r="B7" s="7"/>
      <x:c r="C7" s="5"/>
      <x:c r="D7" s="70"/>
      <x:c r="E7" s="70" t="s">
        <x:v>40</x:v>
      </x:c>
      <x:c r="F7" s="2"/>
      <x:c r="G7" s="3" t="str">
        <x:f>C5</x:f>
        <x:v>Kitwe</x:v>
      </x:c>
      <x:c r="H7" s="10" t="str">
        <x:f>C5</x:f>
        <x:v>Kitwe</x:v>
      </x:c>
      <x:c r="I7" s="4" t="str">
        <x:f>IF(C39="","",C39)</x:f>
      </x:c>
      <x:c r="J7" t="str">
        <x:f>IFERROR($C$39/$B$39,"")</x:f>
      </x:c>
      <x:c r="N7" s="1"/>
      <x:c r="O7" s="1"/>
    </x:row>
    <x:row r="8" ht="16.5">
      <x:c r="A8" s="171" t="n">
        <x:v>46266</x:v>
      </x:c>
      <x:c r="B8" s="52" t="str">
        <x:f>IF(SUM(C8:F8)=0,"",SUM(C8:F8))</x:f>
      </x:c>
      <x:c r="C8" s="53"/>
      <x:c r="D8" s="54"/>
      <x:c r="E8" s="54"/>
      <x:c r="F8" s="1"/>
      <x:c r="G8" s="3" t="str">
        <x:f>D5</x:f>
        <x:v>Eldo</x:v>
      </x:c>
      <x:c r="H8" s="10" t="str">
        <x:f>D5</x:f>
        <x:v>Eldo</x:v>
      </x:c>
      <x:c r="I8" s="4" t="str">
        <x:f>IF(D39="","",D39)</x:f>
      </x:c>
      <x:c r="J8" t="str">
        <x:f>IFERROR($D$39/$B$39,"")</x:f>
      </x:c>
      <x:c r="N8" s="1"/>
      <x:c r="O8" s="1"/>
    </x:row>
    <x:row r="9" ht="16.5">
      <x:c r="A9" s="171" t="n">
        <x:v>46267</x:v>
      </x:c>
      <x:c r="B9" s="52" t="str">
        <x:f t="shared" ref="B9:B37" si="0">IF(SUM(C9:F9)=0,"",SUM(C9:F9))</x:f>
      </x:c>
      <x:c r="C9" s="53"/>
      <x:c r="D9" s="54"/>
      <x:c r="E9" s="54"/>
      <x:c r="F9" s="1"/>
      <x:c r="G9" s="3" t="str">
        <x:f>E5</x:f>
        <x:v>Clubview</x:v>
      </x:c>
      <x:c r="H9" s="10" t="n">
        <x:f>F5</x:f>
        <x:v>0</x:v>
      </x:c>
      <x:c r="I9" s="4" t="str">
        <x:f>IF(F39="","",F39)</x:f>
      </x:c>
      <x:c r="J9" t="str">
        <x:f>IFERROR($F$39/$B$39,"")</x:f>
      </x:c>
      <x:c r="N9" s="1"/>
      <x:c r="O9" s="1"/>
    </x:row>
    <x:row r="10" ht="16.5">
      <x:c r="A10" s="171" t="n">
        <x:v>46268</x:v>
      </x:c>
      <x:c r="B10" s="52" t="str">
        <x:f t="shared" si="0">IF(SUM(C10:F10)=0,"",SUM(C10:F10))</x:f>
      </x:c>
      <x:c r="C10" s="53"/>
      <x:c r="D10" s="54"/>
      <x:c r="E10" s="54"/>
      <x:c r="F10" s="1"/>
      <x:c r="G10" s="39"/>
      <x:c r="H10" s="40"/>
      <x:c r="I10" s="41" t="str">
        <x:f>IF(SUM(I7:I9)=0,"",SUM(I7:I9))</x:f>
      </x:c>
      <x:c r="J10" s="1" t="str">
        <x:f>IF(SUM(J7:J9)=0,"",SUM(J7:J9))</x:f>
      </x:c>
      <x:c r="K10" s="1"/>
      <x:c r="L10" s="1"/>
      <x:c r="M10" s="1"/>
      <x:c r="N10" s="1"/>
      <x:c r="O10" s="1"/>
    </x:row>
    <x:row r="11" ht="16.5">
      <x:c r="A11" s="171" t="n">
        <x:v>46269</x:v>
      </x:c>
      <x:c r="B11" s="52" t="str">
        <x:f t="shared" si="0">IF(SUM(C11:F11)=0,"",SUM(C11:F11))</x:f>
      </x:c>
      <x:c r="C11" s="53"/>
      <x:c r="D11" s="54"/>
      <x:c r="E11" s="54"/>
      <x:c r="F11" s="1"/>
      <x:c r="G11" s="1"/>
      <x:c r="H11" s="38"/>
      <x:c r="I11" s="30"/>
      <x:c r="J11" s="1"/>
      <x:c r="K11" s="1"/>
      <x:c r="L11" s="1"/>
      <x:c r="M11" s="1"/>
      <x:c r="N11" s="1"/>
      <x:c r="O11" s="1"/>
    </x:row>
    <x:row r="12" ht="16.5">
      <x:c r="A12" s="171" t="n">
        <x:v>46270</x:v>
      </x:c>
      <x:c r="B12" s="52" t="str">
        <x:f t="shared" si="0">IF(SUM(C12:F12)=0,"",SUM(C12:F12))</x:f>
      </x:c>
      <x:c r="C12" s="53"/>
      <x:c r="D12" s="54"/>
      <x:c r="E12" s="54"/>
      <x:c r="F12" s="1"/>
      <x:c r="G12" s="1"/>
      <x:c r="H12" s="38"/>
      <x:c r="I12" s="30"/>
      <x:c r="J12" s="1"/>
      <x:c r="K12" s="1"/>
      <x:c r="L12" s="1"/>
      <x:c r="M12" s="1"/>
      <x:c r="N12" s="1"/>
      <x:c r="O12" s="1"/>
    </x:row>
    <x:row r="13" ht="16.5">
      <x:c r="A13" s="171" t="n">
        <x:v>46271</x:v>
      </x:c>
      <x:c r="B13" s="52" t="str">
        <x:f t="shared" si="0">IF(SUM(C13:F13)=0,"",SUM(C13:F13))</x:f>
      </x:c>
      <x:c r="C13" s="53"/>
      <x:c r="D13" s="54"/>
      <x:c r="E13" s="54"/>
      <x:c r="F13" s="1"/>
      <x:c r="G13" s="1"/>
      <x:c r="H13" s="1"/>
      <x:c r="I13" s="1"/>
      <x:c r="J13" s="1"/>
      <x:c r="K13" s="1"/>
      <x:c r="L13" s="1"/>
      <x:c r="M13" s="1"/>
      <x:c r="N13" s="1"/>
      <x:c r="O13" s="1"/>
    </x:row>
    <x:row r="14" ht="16.5">
      <x:c r="A14" s="171" t="n">
        <x:v>46272</x:v>
      </x:c>
      <x:c r="B14" s="52" t="str">
        <x:f t="shared" si="0">IF(SUM(C14:F14)=0,"",SUM(C14:F14))</x:f>
      </x:c>
      <x:c r="C14" s="53"/>
      <x:c r="D14" s="54"/>
      <x:c r="E14" s="54"/>
      <x:c r="F14" s="1"/>
      <x:c r="G14" s="1"/>
      <x:c r="H14" s="27"/>
      <x:c r="I14" s="28"/>
      <x:c r="J14" s="1"/>
      <x:c r="K14" s="1"/>
      <x:c r="L14" s="1"/>
      <x:c r="M14" s="1"/>
      <x:c r="N14" s="1"/>
      <x:c r="O14" s="1"/>
    </x:row>
    <x:row r="15" ht="16.5">
      <x:c r="A15" s="171" t="n">
        <x:v>46273</x:v>
      </x:c>
      <x:c r="B15" s="52" t="str">
        <x:f t="shared" si="0">IF(SUM(C15:F15)=0,"",SUM(C15:F15))</x:f>
      </x:c>
      <x:c r="C15" s="53"/>
      <x:c r="D15" s="54"/>
      <x:c r="E15" s="54"/>
      <x:c r="F15" s="1"/>
      <x:c r="G15" s="1"/>
      <x:c r="H15" s="1"/>
      <x:c r="I15" s="1"/>
      <x:c r="J15" s="1"/>
      <x:c r="K15" s="1"/>
      <x:c r="L15" s="1"/>
      <x:c r="M15" s="1"/>
      <x:c r="N15" s="1"/>
      <x:c r="O15" s="1"/>
    </x:row>
    <x:row r="16" ht="16.5">
      <x:c r="A16" s="171" t="n">
        <x:v>46274</x:v>
      </x:c>
      <x:c r="B16" s="52" t="str">
        <x:f t="shared" si="0">IF(SUM(C16:F16)=0,"",SUM(C16:F16))</x:f>
      </x:c>
      <x:c r="C16" s="53"/>
      <x:c r="D16" s="54"/>
      <x:c r="E16" s="54"/>
      <x:c r="F16" s="1"/>
      <x:c r="G16" s="1"/>
      <x:c r="H16" s="1"/>
      <x:c r="I16" s="1"/>
      <x:c r="J16" s="1"/>
      <x:c r="K16" s="1"/>
      <x:c r="L16" s="1"/>
      <x:c r="M16" s="1"/>
      <x:c r="N16" s="1"/>
      <x:c r="O16" s="1"/>
    </x:row>
    <x:row r="17" ht="16.5">
      <x:c r="A17" s="171" t="n">
        <x:v>46275</x:v>
      </x:c>
      <x:c r="B17" s="52" t="str">
        <x:f t="shared" si="0">IF(SUM(C17:F17)=0,"",SUM(C17:F17))</x:f>
      </x:c>
      <x:c r="C17" s="53"/>
      <x:c r="D17" s="54"/>
      <x:c r="E17" s="54"/>
      <x:c r="F17" s="1"/>
      <x:c r="G17" s="1"/>
      <x:c r="H17" s="1"/>
      <x:c r="I17" s="1"/>
      <x:c r="J17" s="1"/>
      <x:c r="K17" s="1"/>
      <x:c r="L17" s="1"/>
      <x:c r="M17" s="1"/>
      <x:c r="N17" s="1"/>
      <x:c r="O17" s="1"/>
    </x:row>
    <x:row r="18" ht="16.5">
      <x:c r="A18" s="171" t="n">
        <x:v>46276</x:v>
      </x:c>
      <x:c r="B18" s="52" t="str">
        <x:f t="shared" si="0">IF(SUM(C18:F18)=0,"",SUM(C18:F18))</x:f>
      </x:c>
      <x:c r="C18" s="53"/>
      <x:c r="D18" s="54"/>
      <x:c r="E18" s="54"/>
      <x:c r="F18" s="1"/>
      <x:c r="G18" s="1"/>
      <x:c r="H18" s="1"/>
      <x:c r="I18" s="1"/>
      <x:c r="J18" s="1"/>
      <x:c r="K18" s="1"/>
      <x:c r="L18" s="1"/>
      <x:c r="M18" s="1"/>
      <x:c r="N18" s="1"/>
      <x:c r="O18" s="1"/>
    </x:row>
    <x:row r="19" ht="16.5">
      <x:c r="A19" s="171" t="n">
        <x:v>46277</x:v>
      </x:c>
      <x:c r="B19" s="52" t="str">
        <x:f t="shared" si="0">IF(SUM(C19:F19)=0,"",SUM(C19:F19))</x:f>
      </x:c>
      <x:c r="C19" s="53"/>
      <x:c r="D19" s="54"/>
      <x:c r="E19" s="54"/>
      <x:c r="F19" s="1"/>
      <x:c r="G19" s="1"/>
      <x:c r="H19" s="1"/>
      <x:c r="I19" s="1"/>
      <x:c r="J19" s="1"/>
      <x:c r="K19" s="1"/>
      <x:c r="L19" s="1"/>
      <x:c r="M19" s="1"/>
      <x:c r="N19" s="1"/>
      <x:c r="O19" s="1"/>
    </x:row>
    <x:row r="20" ht="16.5">
      <x:c r="A20" s="171" t="n">
        <x:v>46278</x:v>
      </x:c>
      <x:c r="B20" s="52" t="str">
        <x:f t="shared" si="0">IF(SUM(C20:F20)=0,"",SUM(C20:F20))</x:f>
      </x:c>
      <x:c r="C20" s="53"/>
      <x:c r="D20" s="54"/>
      <x:c r="E20" s="54"/>
      <x:c r="F20" s="1"/>
      <x:c r="G20" s="1"/>
      <x:c r="H20" s="1"/>
      <x:c r="I20" s="1"/>
      <x:c r="J20" s="1"/>
      <x:c r="K20" s="1"/>
      <x:c r="L20" s="1"/>
      <x:c r="M20" s="1"/>
      <x:c r="N20" s="1"/>
      <x:c r="O20" s="1"/>
    </x:row>
    <x:row r="21" ht="16.5">
      <x:c r="A21" s="171" t="n">
        <x:v>46279</x:v>
      </x:c>
      <x:c r="B21" s="52" t="str">
        <x:f t="shared" si="0">IF(SUM(C21:F21)=0,"",SUM(C21:F21))</x:f>
      </x:c>
      <x:c r="C21" s="53"/>
      <x:c r="D21" s="54"/>
      <x:c r="E21" s="54"/>
      <x:c r="F21" s="1"/>
      <x:c r="G21" s="1"/>
      <x:c r="H21" s="1"/>
      <x:c r="I21" s="1"/>
      <x:c r="J21" s="1"/>
      <x:c r="K21" s="1"/>
      <x:c r="L21" s="1"/>
      <x:c r="M21" s="1"/>
      <x:c r="N21" s="1"/>
      <x:c r="O21" s="1"/>
    </x:row>
    <x:row r="22" ht="16.5">
      <x:c r="A22" s="171" t="n">
        <x:v>46280</x:v>
      </x:c>
      <x:c r="B22" s="52" t="str">
        <x:f t="shared" si="0">IF(SUM(C22:F22)=0,"",SUM(C22:F22))</x:f>
      </x:c>
      <x:c r="C22" s="53"/>
      <x:c r="D22" s="54"/>
      <x:c r="E22" s="54"/>
      <x:c r="F22" s="1"/>
      <x:c r="G22" s="1"/>
      <x:c r="H22" s="1"/>
      <x:c r="I22" s="1"/>
      <x:c r="J22" s="1"/>
      <x:c r="K22" s="1"/>
      <x:c r="L22" s="1"/>
      <x:c r="M22" s="1"/>
      <x:c r="N22" s="1"/>
      <x:c r="O22" s="1"/>
    </x:row>
    <x:row r="23" ht="16.5">
      <x:c r="A23" s="171" t="n">
        <x:v>46281</x:v>
      </x:c>
      <x:c r="B23" s="52" t="str">
        <x:f t="shared" si="0">IF(SUM(C23:F23)=0,"",SUM(C23:F23))</x:f>
      </x:c>
      <x:c r="C23" s="53"/>
      <x:c r="D23" s="54"/>
      <x:c r="E23" s="54"/>
      <x:c r="F23" s="1"/>
      <x:c r="G23" s="1"/>
      <x:c r="H23" s="1"/>
      <x:c r="I23" s="1"/>
      <x:c r="J23" s="1"/>
      <x:c r="K23" s="1"/>
      <x:c r="L23" s="1"/>
      <x:c r="M23" s="1"/>
      <x:c r="N23" s="1"/>
      <x:c r="O23" s="1"/>
    </x:row>
    <x:row r="24" ht="16.5">
      <x:c r="A24" s="171" t="n">
        <x:v>46282</x:v>
      </x:c>
      <x:c r="B24" s="52" t="str">
        <x:f t="shared" si="0">IF(SUM(C24:F24)=0,"",SUM(C24:F24))</x:f>
      </x:c>
      <x:c r="C24" s="53"/>
      <x:c r="D24" s="54"/>
      <x:c r="E24" s="54"/>
      <x:c r="F24" s="1"/>
      <x:c r="G24" s="1"/>
      <x:c r="H24" s="1"/>
      <x:c r="I24" s="1"/>
      <x:c r="J24" s="1"/>
      <x:c r="K24" s="1"/>
      <x:c r="L24" s="1"/>
      <x:c r="M24" s="1"/>
      <x:c r="N24" s="1"/>
      <x:c r="O24" s="1"/>
    </x:row>
    <x:row r="25" ht="16.5">
      <x:c r="A25" s="171" t="n">
        <x:v>46283</x:v>
      </x:c>
      <x:c r="B25" s="52" t="str">
        <x:f t="shared" si="0">IF(SUM(C25:F25)=0,"",SUM(C25:F25))</x:f>
      </x:c>
      <x:c r="C25" s="53"/>
      <x:c r="D25" s="54"/>
      <x:c r="E25" s="54"/>
      <x:c r="F25" s="1"/>
      <x:c r="G25" s="34"/>
      <x:c r="H25" s="34"/>
      <x:c r="I25" s="34"/>
      <x:c r="J25" s="1"/>
      <x:c r="K25" s="1"/>
      <x:c r="L25" s="1"/>
      <x:c r="M25" s="1"/>
      <x:c r="N25" s="1"/>
      <x:c r="O25" s="1"/>
    </x:row>
    <x:row r="26" ht="16.5">
      <x:c r="A26" s="171" t="n">
        <x:v>46284</x:v>
      </x:c>
      <x:c r="B26" s="52" t="str">
        <x:f t="shared" si="0">IF(SUM(C26:F26)=0,"",SUM(C26:F26))</x:f>
      </x:c>
      <x:c r="C26" s="53"/>
      <x:c r="D26" s="54"/>
      <x:c r="E26" s="54"/>
      <x:c r="F26" s="1"/>
      <x:c r="G26" s="33"/>
      <x:c r="H26" s="33"/>
      <x:c r="I26" s="33"/>
      <x:c r="J26" s="1"/>
      <x:c r="K26" s="1"/>
      <x:c r="L26" s="1"/>
      <x:c r="M26" s="1"/>
      <x:c r="N26" s="1"/>
      <x:c r="O26" s="1"/>
    </x:row>
    <x:row r="27" ht="16.5">
      <x:c r="A27" s="171" t="n">
        <x:v>46285</x:v>
      </x:c>
      <x:c r="B27" s="52" t="str">
        <x:f t="shared" si="0">IF(SUM(C27:F27)=0,"",SUM(C27:F27))</x:f>
      </x:c>
      <x:c r="C27" s="53"/>
      <x:c r="D27" s="54"/>
      <x:c r="E27" s="54"/>
      <x:c r="F27" s="1"/>
      <x:c r="G27" s="34"/>
      <x:c r="H27" s="35"/>
      <x:c r="I27" s="36"/>
      <x:c r="J27" s="1"/>
      <x:c r="K27" s="1"/>
      <x:c r="L27" s="1"/>
      <x:c r="M27" s="1"/>
      <x:c r="N27" s="1"/>
      <x:c r="O27" s="1"/>
    </x:row>
    <x:row r="28" ht="16.5">
      <x:c r="A28" s="171" t="n">
        <x:v>46286</x:v>
      </x:c>
      <x:c r="B28" s="52" t="str">
        <x:f t="shared" si="0">IF(SUM(C28:F28)=0,"",SUM(C28:F28))</x:f>
      </x:c>
      <x:c r="C28" s="53"/>
      <x:c r="D28" s="54"/>
      <x:c r="E28" s="54"/>
      <x:c r="F28" s="1"/>
      <x:c r="G28" s="34"/>
      <x:c r="H28" s="37"/>
      <x:c r="I28" s="36"/>
      <x:c r="J28" s="1"/>
      <x:c r="K28" s="1"/>
      <x:c r="L28" s="1"/>
      <x:c r="M28" s="1"/>
      <x:c r="N28" s="1"/>
      <x:c r="O28" s="1"/>
    </x:row>
    <x:row r="29" ht="16.5">
      <x:c r="A29" s="171" t="n">
        <x:v>46287</x:v>
      </x:c>
      <x:c r="B29" s="52" t="str">
        <x:f t="shared" si="0">IF(SUM(C29:F29)=0,"",SUM(C29:F29))</x:f>
      </x:c>
      <x:c r="C29" s="55"/>
      <x:c r="D29" s="54"/>
      <x:c r="E29" s="56"/>
      <x:c r="F29" s="1"/>
      <x:c r="G29" s="1"/>
      <x:c r="H29" s="29"/>
      <x:c r="I29" s="30"/>
      <x:c r="J29" s="1"/>
      <x:c r="K29" s="1"/>
      <x:c r="L29" s="1"/>
      <x:c r="M29" s="1"/>
      <x:c r="N29" s="1"/>
      <x:c r="O29" s="1"/>
    </x:row>
    <x:row r="30" ht="16.5">
      <x:c r="A30" s="171" t="n">
        <x:v>46288</x:v>
      </x:c>
      <x:c r="B30" s="52" t="str">
        <x:f t="shared" si="0">IF(SUM(C30:F30)=0,"",SUM(C30:F30))</x:f>
      </x:c>
      <x:c r="C30" s="53"/>
      <x:c r="D30" s="54"/>
      <x:c r="E30" s="54"/>
      <x:c r="F30" s="1"/>
      <x:c r="G30" s="1"/>
      <x:c r="H30" s="31"/>
      <x:c r="I30" s="30"/>
      <x:c r="J30" s="1"/>
      <x:c r="K30" s="1"/>
      <x:c r="L30" s="1"/>
      <x:c r="M30" s="1"/>
      <x:c r="N30" s="1"/>
      <x:c r="O30" s="1"/>
    </x:row>
    <x:row r="31" ht="16.5">
      <x:c r="A31" s="171" t="n">
        <x:v>46289</x:v>
      </x:c>
      <x:c r="B31" s="52" t="str">
        <x:f t="shared" si="0">IF(SUM(C31:F31)=0,"",SUM(C31:F31))</x:f>
      </x:c>
      <x:c r="C31" s="53"/>
      <x:c r="D31" s="54"/>
      <x:c r="E31" s="54"/>
      <x:c r="F31" s="1"/>
      <x:c r="G31" s="1"/>
      <x:c r="H31" s="29"/>
      <x:c r="I31" s="30"/>
      <x:c r="J31" s="1"/>
      <x:c r="K31" s="1"/>
      <x:c r="L31" s="1"/>
      <x:c r="M31" s="1"/>
      <x:c r="N31" s="1"/>
      <x:c r="O31" s="1"/>
    </x:row>
    <x:row r="32" ht="16.5">
      <x:c r="A32" s="171" t="n">
        <x:v>46290</x:v>
      </x:c>
      <x:c r="B32" s="52" t="str">
        <x:f t="shared" si="0">IF(SUM(C32:F32)=0,"",SUM(C32:F32))</x:f>
      </x:c>
      <x:c r="C32" s="53"/>
      <x:c r="D32" s="54"/>
      <x:c r="E32" s="54"/>
      <x:c r="F32" s="1"/>
      <x:c r="G32" s="1"/>
      <x:c r="H32" s="31"/>
      <x:c r="I32" s="30"/>
      <x:c r="J32" s="1"/>
      <x:c r="K32" s="1"/>
      <x:c r="L32" s="1"/>
      <x:c r="M32" s="1"/>
      <x:c r="N32" s="1"/>
      <x:c r="O32" s="1"/>
    </x:row>
    <x:row r="33" ht="16.5">
      <x:c r="A33" s="171" t="n">
        <x:v>46291</x:v>
      </x:c>
      <x:c r="B33" s="52" t="str">
        <x:f t="shared" si="0">IF(SUM(C33:F33)=0,"",SUM(C33:F33))</x:f>
      </x:c>
      <x:c r="C33" s="53"/>
      <x:c r="D33" s="54"/>
      <x:c r="E33" s="54"/>
      <x:c r="F33" s="1"/>
      <x:c r="G33" s="1"/>
      <x:c r="H33" s="32"/>
      <x:c r="I33" s="30"/>
      <x:c r="J33" s="1"/>
      <x:c r="K33" s="1"/>
      <x:c r="L33" s="1"/>
      <x:c r="M33" s="1"/>
      <x:c r="N33" s="1"/>
      <x:c r="O33" s="1"/>
    </x:row>
    <x:row r="34" ht="16.5">
      <x:c r="A34" s="171" t="n">
        <x:v>46292</x:v>
      </x:c>
      <x:c r="B34" s="52" t="str">
        <x:f t="shared" si="0">IF(SUM(C34:F34)=0,"",SUM(C34:F34))</x:f>
      </x:c>
      <x:c r="C34" s="53"/>
      <x:c r="D34" s="54"/>
      <x:c r="E34" s="54"/>
      <x:c r="F34" s="1"/>
      <x:c r="G34" s="1"/>
      <x:c r="H34" s="1"/>
      <x:c r="I34" s="1"/>
      <x:c r="J34" s="1"/>
      <x:c r="K34" s="1"/>
      <x:c r="L34" s="1"/>
      <x:c r="M34" s="1"/>
      <x:c r="N34" s="1"/>
      <x:c r="O34" s="1"/>
    </x:row>
    <x:row r="35" ht="16.5">
      <x:c r="A35" s="171" t="n">
        <x:v>46293</x:v>
      </x:c>
      <x:c r="B35" s="52" t="str">
        <x:f t="shared" si="0">IF(SUM(C35:F35)=0,"",SUM(C35:F35))</x:f>
      </x:c>
      <x:c r="C35" s="53"/>
      <x:c r="D35" s="54"/>
      <x:c r="E35" s="54"/>
      <x:c r="F35" s="1"/>
      <x:c r="G35" s="1"/>
      <x:c r="H35" s="1"/>
      <x:c r="I35" s="1"/>
      <x:c r="J35" s="1"/>
      <x:c r="K35" s="1"/>
      <x:c r="L35" s="1"/>
      <x:c r="M35" s="1"/>
      <x:c r="N35" s="1"/>
      <x:c r="O35" s="1"/>
    </x:row>
    <x:row r="36" ht="16.5">
      <x:c r="A36" s="171" t="n">
        <x:v>46294</x:v>
      </x:c>
      <x:c r="B36" s="52" t="str">
        <x:f t="shared" si="0">IF(SUM(C36:F36)=0,"",SUM(C36:F36))</x:f>
      </x:c>
      <x:c r="C36" s="53"/>
      <x:c r="D36" s="54"/>
      <x:c r="E36" s="54"/>
      <x:c r="F36" s="1"/>
      <x:c r="G36" s="1"/>
      <x:c r="H36" s="1"/>
      <x:c r="I36" s="1"/>
      <x:c r="J36" s="1"/>
      <x:c r="K36" s="1"/>
      <x:c r="L36" s="1"/>
      <x:c r="M36" s="1"/>
      <x:c r="N36" s="1"/>
      <x:c r="O36" s="1"/>
    </x:row>
    <x:row r="37" ht="16.5">
      <x:c r="A37" s="171" t="n">
        <x:v>46295</x:v>
      </x:c>
      <x:c r="B37" s="52" t="str">
        <x:f t="shared" si="0">IF(SUM(C37:F37)=0,"",SUM(C37:F37))</x:f>
      </x:c>
      <x:c r="C37" s="53"/>
      <x:c r="D37" s="54"/>
      <x:c r="E37" s="54"/>
      <x:c r="F37" s="1"/>
      <x:c r="G37" s="1"/>
      <x:c r="H37" s="1"/>
      <x:c r="I37" s="1"/>
      <x:c r="J37" s="1"/>
      <x:c r="K37" s="1"/>
      <x:c r="L37" s="1"/>
      <x:c r="M37" s="1"/>
      <x:c r="N37" s="1"/>
      <x:c r="O37" s="1"/>
    </x:row>
    <x:row r="38" ht="16.5">
      <x:c r="A38" s="171"/>
      <x:c r="B38" s="52" t="str">
        <x:f>IF(SUM(C38:F38)=0,"",SUM(C38:F38))</x:f>
      </x:c>
      <x:c r="C38" s="53"/>
      <x:c r="D38" s="54"/>
      <x:c r="E38" s="54"/>
      <x:c r="F38" s="1"/>
      <x:c r="G38" s="1"/>
      <x:c r="H38" s="1"/>
      <x:c r="I38" s="1"/>
      <x:c r="J38" s="1"/>
      <x:c r="K38" s="1"/>
      <x:c r="L38" s="1"/>
      <x:c r="M38" s="1"/>
      <x:c r="N38" s="1"/>
      <x:c r="O38" s="1"/>
    </x:row>
    <x:row r="39" ht="16.5">
      <x:c r="A39" s="51"/>
      <x:c r="B39" s="57" t="str">
        <x:f>IF(SUM(B8:B38)=0,"",SUM(B8:B38))</x:f>
      </x:c>
      <x:c r="C39" s="58" t="str">
        <x:f>IF(SUM(C8:C38)=0,"",SUM(C8:C38))</x:f>
      </x:c>
      <x:c r="D39" s="59" t="str">
        <x:f>IF(SUM(D8:D38)=0,"",SUM(D8:D38))</x:f>
      </x:c>
      <x:c r="E39" s="59" t="str">
        <x:f>IF(SUM(E8:E38)=0,"",SUM(E8:E38))</x:f>
      </x:c>
      <x:c r="F39" s="1" t="str">
        <x:f>IF(SUM(F8:F38)=0,"",SUM(F8:F38))</x:f>
      </x:c>
      <x:c r="G39" s="1"/>
      <x:c r="H39" s="1"/>
      <x:c r="I39" s="1"/>
      <x:c r="J39" s="1"/>
      <x:c r="K39" s="1"/>
      <x:c r="L39" s="1"/>
      <x:c r="M39" s="1"/>
      <x:c r="N39" s="1"/>
      <x:c r="O39" s="1"/>
    </x:row>
    <x:row r="40" ht="16.5">
      <x:c r="B40" s="11"/>
      <x:c r="C40" s="1"/>
      <x:c r="D40" s="19"/>
      <x:c r="E40" s="19"/>
      <x:c r="F40" s="1"/>
      <x:c r="G40" s="1"/>
      <x:c r="H40" s="1"/>
      <x:c r="I40" s="1"/>
      <x:c r="J40" s="1"/>
      <x:c r="K40" s="1"/>
      <x:c r="L40" s="1"/>
      <x:c r="M40" s="1"/>
      <x:c r="N40" s="1"/>
      <x:c r="O40" s="1"/>
    </x:row>
    <x:row r="41" ht="16.5">
      <x:c r="B41" s="11"/>
      <x:c r="C41" s="1"/>
      <x:c r="D41" s="19"/>
      <x:c r="E41" s="19"/>
      <x:c r="F41" s="1"/>
      <x:c r="G41" s="1"/>
      <x:c r="H41" s="1"/>
      <x:c r="I41" s="1"/>
      <x:c r="J41" s="1"/>
      <x:c r="K41" s="1"/>
      <x:c r="L41" s="1"/>
      <x:c r="M41" s="1"/>
      <x:c r="N41" s="1"/>
      <x:c r="O41" s="1"/>
    </x:row>
    <x:row r="42" ht="16.5">
      <x:c r="B42" s="11"/>
      <x:c r="C42" s="27"/>
      <x:c r="D42" s="19"/>
      <x:c r="E42" s="19"/>
      <x:c r="F42" s="1"/>
      <x:c r="G42" s="1"/>
      <x:c r="H42" s="1"/>
      <x:c r="I42" s="1"/>
      <x:c r="J42" s="1"/>
      <x:c r="K42" s="1"/>
      <x:c r="L42" s="1"/>
      <x:c r="M42" s="1"/>
      <x:c r="N42" s="1"/>
      <x:c r="O42" s="1"/>
    </x:row>
    <x:row r="43" ht="16.5">
      <x:c r="B43" s="11"/>
      <x:c r="C43" s="27"/>
      <x:c r="D43" s="19"/>
      <x:c r="E43" s="19"/>
      <x:c r="F43" s="1"/>
      <x:c r="G43" s="1"/>
      <x:c r="H43" s="1"/>
      <x:c r="I43" s="1"/>
      <x:c r="J43" s="1"/>
      <x:c r="K43" s="1"/>
      <x:c r="L43" s="1"/>
      <x:c r="M43" s="1"/>
      <x:c r="N43" s="1"/>
      <x:c r="O43" s="1"/>
    </x:row>
    <x:row r="44" ht="16.5">
      <x:c r="B44" s="11"/>
      <x:c r="C44" s="27"/>
      <x:c r="D44" s="19"/>
      <x:c r="E44" s="19"/>
      <x:c r="F44" s="1"/>
      <x:c r="G44" s="1"/>
      <x:c r="H44" s="1"/>
      <x:c r="I44" s="1"/>
      <x:c r="J44" s="1"/>
      <x:c r="K44" s="1"/>
      <x:c r="L44" s="1"/>
      <x:c r="M44" s="1"/>
      <x:c r="N44" s="1"/>
      <x:c r="O44" s="1"/>
    </x:row>
    <x:row r="45" ht="16.5">
      <x:c r="B45" s="11"/>
      <x:c r="C45" s="1"/>
      <x:c r="D45" s="19"/>
      <x:c r="E45" s="19"/>
      <x:c r="F45" s="1"/>
      <x:c r="G45" s="1"/>
      <x:c r="H45" s="1"/>
      <x:c r="I45" s="1"/>
      <x:c r="J45" s="1"/>
      <x:c r="K45" s="1"/>
      <x:c r="L45" s="1"/>
      <x:c r="M45" s="1"/>
      <x:c r="N45" s="1"/>
      <x:c r="O45" s="1"/>
    </x:row>
    <x:row r="46" ht="16.5">
      <x:c r="B46" s="11"/>
      <x:c r="C46" s="1"/>
      <x:c r="D46" s="19"/>
      <x:c r="E46" s="19"/>
      <x:c r="F46" s="1"/>
      <x:c r="G46" s="1"/>
      <x:c r="H46" s="1"/>
      <x:c r="I46" s="1"/>
      <x:c r="J46" s="1"/>
      <x:c r="K46" s="1"/>
      <x:c r="L46" s="1"/>
      <x:c r="M46" s="1"/>
      <x:c r="N46" s="1"/>
      <x:c r="O46" s="1"/>
    </x:row>
    <x:row r="47" ht="16.5">
      <x:c r="B47" s="11"/>
      <x:c r="C47" s="1"/>
      <x:c r="D47" s="19"/>
      <x:c r="E47" s="19"/>
      <x:c r="F47" s="1"/>
      <x:c r="G47" s="1"/>
      <x:c r="H47" s="1"/>
      <x:c r="I47" s="1"/>
      <x:c r="J47" s="1"/>
      <x:c r="K47" s="1"/>
      <x:c r="L47" s="1"/>
      <x:c r="M47" s="1"/>
      <x:c r="N47" s="1"/>
      <x:c r="O47" s="1"/>
    </x:row>
    <x:row r="48" ht="16.5">
      <x:c r="B48" s="11"/>
      <x:c r="C48" s="1"/>
      <x:c r="D48" s="19"/>
      <x:c r="E48" s="19"/>
      <x:c r="F48" s="1"/>
      <x:c r="G48" s="1"/>
      <x:c r="H48" s="1"/>
      <x:c r="I48" s="1"/>
      <x:c r="J48" s="1"/>
      <x:c r="K48" s="1"/>
      <x:c r="L48" s="1"/>
      <x:c r="M48" s="1"/>
      <x:c r="N48" s="1"/>
      <x:c r="O48" s="1"/>
    </x:row>
    <x:row r="49" ht="16.5">
      <x:c r="A49"/>
      <x:c r="B49" s="11"/>
      <x:c r="C49" s="1"/>
      <x:c r="D49" s="19"/>
      <x:c r="E49" s="19"/>
      <x:c r="F49" s="1"/>
      <x:c r="G49" s="1"/>
      <x:c r="H49" s="1"/>
      <x:c r="I49" s="1"/>
      <x:c r="J49" s="1"/>
      <x:c r="K49" s="1"/>
      <x:c r="L49" s="1"/>
      <x:c r="M49" s="1"/>
      <x:c r="N49" s="1"/>
      <x:c r="O49" s="1"/>
    </x:row>
    <x:row r="50" ht="16.5">
      <x:c r="A50"/>
      <x:c r="B50" s="11"/>
      <x:c r="C50" s="1"/>
      <x:c r="D50" s="19"/>
      <x:c r="E50" s="19"/>
      <x:c r="F50" s="1"/>
      <x:c r="G50" s="1"/>
      <x:c r="H50" s="1"/>
      <x:c r="I50" s="1"/>
      <x:c r="J50" s="1"/>
      <x:c r="K50" s="1"/>
      <x:c r="L50" s="1"/>
      <x:c r="M50" s="1"/>
      <x:c r="N50" s="1"/>
      <x:c r="O50" s="1"/>
    </x:row>
    <x:row r="51" ht="16.5">
      <x:c r="A51"/>
      <x:c r="B51" s="11"/>
      <x:c r="C51" s="1"/>
      <x:c r="D51" s="19"/>
      <x:c r="E51" s="19"/>
      <x:c r="F51" s="1"/>
      <x:c r="G51" s="1"/>
      <x:c r="H51" s="1"/>
      <x:c r="I51" s="1"/>
      <x:c r="J51" s="1"/>
      <x:c r="K51" s="1"/>
      <x:c r="L51" s="1"/>
      <x:c r="M51" s="1"/>
      <x:c r="N51" s="1"/>
      <x:c r="O51" s="1"/>
    </x:row>
    <x:row r="52" ht="16.5">
      <x:c r="A52"/>
      <x:c r="B52" s="11"/>
      <x:c r="C52" s="1"/>
      <x:c r="D52" s="19"/>
      <x:c r="E52" s="19"/>
      <x:c r="F52" s="1"/>
      <x:c r="G52" s="1"/>
      <x:c r="H52" s="1"/>
      <x:c r="I52" s="1"/>
      <x:c r="J52" s="1"/>
      <x:c r="K52" s="1"/>
      <x:c r="L52" s="1"/>
      <x:c r="M52" s="1"/>
      <x:c r="N52" s="1"/>
      <x:c r="O52" s="1"/>
    </x:row>
    <x:row r="53" ht="16.5">
      <x:c r="A53"/>
      <x:c r="B53" s="11"/>
      <x:c r="C53" s="1"/>
      <x:c r="D53" s="19"/>
      <x:c r="E53" s="19"/>
      <x:c r="F53" s="1"/>
      <x:c r="G53" s="1"/>
      <x:c r="H53" s="1"/>
      <x:c r="I53" s="1"/>
      <x:c r="J53" s="1"/>
      <x:c r="K53" s="1"/>
      <x:c r="L53" s="1"/>
      <x:c r="M53" s="1"/>
      <x:c r="N53" s="1"/>
      <x:c r="O53" s="1"/>
    </x:row>
    <x:row r="54" ht="16.5">
      <x:c r="A54"/>
      <x:c r="B54" s="11"/>
      <x:c r="C54" s="1"/>
      <x:c r="D54" s="19"/>
      <x:c r="E54" s="19"/>
      <x:c r="F54" s="1"/>
      <x:c r="G54" s="1"/>
      <x:c r="H54" s="1"/>
      <x:c r="I54" s="1"/>
      <x:c r="J54" s="1"/>
      <x:c r="K54" s="1"/>
      <x:c r="L54" s="1"/>
      <x:c r="M54" s="1"/>
      <x:c r="N54" s="1"/>
      <x:c r="O54" s="1"/>
    </x:row>
    <x:row r="55" ht="16.5">
      <x:c r="A55"/>
      <x:c r="B55" s="11"/>
      <x:c r="C55" s="1"/>
      <x:c r="D55" s="19"/>
      <x:c r="E55" s="19"/>
      <x:c r="F55" s="1"/>
      <x:c r="G55" s="1"/>
      <x:c r="H55" s="1"/>
      <x:c r="I55" s="1"/>
      <x:c r="J55" s="1"/>
      <x:c r="K55" s="1"/>
      <x:c r="L55" s="1"/>
      <x:c r="M55" s="1"/>
      <x:c r="N55" s="1"/>
      <x:c r="O55" s="1"/>
    </x:row>
    <x:row r="56" ht="16.5">
      <x:c r="A56"/>
      <x:c r="B56" s="11"/>
      <x:c r="C56" s="1"/>
      <x:c r="D56" s="19"/>
      <x:c r="E56" s="19"/>
      <x:c r="F56" s="1"/>
      <x:c r="G56" s="1"/>
      <x:c r="H56" s="1"/>
      <x:c r="I56" s="1"/>
      <x:c r="J56" s="1"/>
      <x:c r="K56" s="1"/>
      <x:c r="L56" s="1"/>
      <x:c r="M56" s="1"/>
      <x:c r="N56" s="1"/>
      <x:c r="O56" s="1"/>
    </x:row>
    <x:row r="57" ht="16.5">
      <x:c r="A57"/>
      <x:c r="B57" s="11"/>
      <x:c r="C57" s="1"/>
      <x:c r="D57" s="19"/>
      <x:c r="E57" s="19"/>
      <x:c r="F57" s="1"/>
      <x:c r="G57" s="1"/>
      <x:c r="H57" s="1"/>
      <x:c r="I57" s="1"/>
      <x:c r="J57" s="1"/>
      <x:c r="K57" s="1"/>
      <x:c r="L57" s="1"/>
      <x:c r="M57" s="1"/>
      <x:c r="N57" s="1"/>
      <x:c r="O57" s="1"/>
    </x:row>
    <x:row r="58" ht="16.5">
      <x:c r="A58"/>
      <x:c r="B58" s="11"/>
      <x:c r="C58" s="1"/>
      <x:c r="D58" s="19"/>
      <x:c r="E58" s="19"/>
      <x:c r="F58" s="1"/>
      <x:c r="G58" s="1"/>
      <x:c r="H58" s="1"/>
      <x:c r="I58" s="1"/>
      <x:c r="J58" s="1"/>
      <x:c r="K58" s="1"/>
      <x:c r="L58" s="1"/>
      <x:c r="M58" s="1"/>
      <x:c r="N58" s="1"/>
      <x:c r="O58" s="1"/>
    </x:row>
    <x:row r="59" ht="16.5">
      <x:c r="A59"/>
      <x:c r="B59" s="11"/>
      <x:c r="C59" s="1"/>
      <x:c r="D59" s="19"/>
      <x:c r="E59" s="19"/>
      <x:c r="F59" s="1"/>
      <x:c r="G59" s="1"/>
      <x:c r="H59" s="1"/>
      <x:c r="I59" s="1"/>
      <x:c r="J59" s="1"/>
      <x:c r="K59" s="1"/>
      <x:c r="L59" s="1"/>
      <x:c r="M59" s="1"/>
      <x:c r="N59" s="1"/>
      <x:c r="O59" s="1"/>
    </x:row>
    <x:row r="60" ht="16.5">
      <x:c r="A60"/>
      <x:c r="B60" s="11"/>
      <x:c r="C60" s="1"/>
      <x:c r="D60" s="19"/>
      <x:c r="E60" s="19"/>
      <x:c r="F60" s="1"/>
      <x:c r="G60" s="1"/>
      <x:c r="H60" s="1"/>
      <x:c r="I60" s="1"/>
      <x:c r="J60" s="1"/>
      <x:c r="K60" s="1"/>
      <x:c r="L60" s="1"/>
      <x:c r="M60" s="1"/>
      <x:c r="N60" s="1"/>
      <x:c r="O60" s="1"/>
    </x:row>
    <x:row r="61" ht="16.5">
      <x:c r="A61"/>
      <x:c r="B61" s="11"/>
      <x:c r="C61" s="1"/>
      <x:c r="D61" s="19"/>
      <x:c r="E61" s="19"/>
      <x:c r="F61" s="1"/>
      <x:c r="G61" s="1"/>
      <x:c r="H61" s="1"/>
      <x:c r="I61" s="1"/>
      <x:c r="J61" s="1"/>
      <x:c r="K61" s="1"/>
      <x:c r="L61" s="1"/>
      <x:c r="M61" s="1"/>
      <x:c r="N61" s="1"/>
      <x:c r="O61" s="1"/>
    </x:row>
    <x:row r="62" ht="16.5">
      <x:c r="A62"/>
      <x:c r="B62" s="11"/>
      <x:c r="C62" s="1"/>
      <x:c r="D62" s="19"/>
      <x:c r="E62" s="19"/>
      <x:c r="F62" s="1"/>
      <x:c r="G62" s="1"/>
      <x:c r="H62" s="1"/>
      <x:c r="I62" s="1"/>
      <x:c r="J62" s="1"/>
      <x:c r="K62" s="1"/>
      <x:c r="L62" s="1"/>
      <x:c r="M62" s="1"/>
      <x:c r="N62" s="1"/>
      <x:c r="O62" s="1"/>
    </x:row>
    <x:row r="63" ht="16.5">
      <x:c r="A63"/>
      <x:c r="B63" s="11"/>
      <x:c r="C63" s="1"/>
      <x:c r="D63" s="19"/>
      <x:c r="E63" s="19"/>
      <x:c r="F63" s="1"/>
      <x:c r="G63" s="1"/>
      <x:c r="H63" s="1"/>
      <x:c r="I63" s="1"/>
      <x:c r="J63" s="1"/>
      <x:c r="K63" s="1"/>
      <x:c r="L63" s="1"/>
      <x:c r="M63" s="1"/>
      <x:c r="N63" s="1"/>
      <x:c r="O63" s="1"/>
    </x:row>
    <x:row r="64" ht="16.5">
      <x:c r="A64"/>
      <x:c r="B64" s="11"/>
      <x:c r="C64" s="1"/>
      <x:c r="D64" s="19"/>
      <x:c r="E64" s="19"/>
      <x:c r="F64" s="1"/>
      <x:c r="G64" s="1"/>
      <x:c r="H64" s="1"/>
      <x:c r="I64" s="1"/>
      <x:c r="J64" s="1"/>
      <x:c r="K64" s="1"/>
      <x:c r="L64" s="1"/>
      <x:c r="M64" s="1"/>
      <x:c r="N64" s="1"/>
      <x:c r="O64" s="1"/>
    </x:row>
    <x:row r="65" ht="16.5">
      <x:c r="A65"/>
      <x:c r="B65" s="11"/>
      <x:c r="C65" s="1"/>
      <x:c r="D65" s="19"/>
      <x:c r="E65" s="19"/>
      <x:c r="F65" s="1"/>
      <x:c r="G65" s="1"/>
      <x:c r="H65" s="1"/>
      <x:c r="I65" s="1"/>
      <x:c r="J65" s="1"/>
      <x:c r="K65" s="1"/>
      <x:c r="L65" s="1"/>
      <x:c r="M65" s="1"/>
      <x:c r="N65" s="1"/>
      <x:c r="O65" s="1"/>
    </x:row>
    <x:row r="66" ht="16.5">
      <x:c r="A66"/>
      <x:c r="B66" s="11"/>
      <x:c r="C66" s="1"/>
      <x:c r="D66" s="19"/>
      <x:c r="E66" s="19"/>
      <x:c r="F66" s="1"/>
      <x:c r="G66" s="1"/>
      <x:c r="H66" s="1"/>
      <x:c r="I66" s="1"/>
      <x:c r="J66" s="1"/>
      <x:c r="K66" s="1"/>
      <x:c r="L66" s="1"/>
      <x:c r="M66" s="1"/>
      <x:c r="N66" s="1"/>
      <x:c r="O66" s="1"/>
    </x:row>
    <x:row r="67" ht="16.5">
      <x:c r="A67"/>
      <x:c r="B67" s="11"/>
      <x:c r="C67" s="1"/>
      <x:c r="D67" s="19"/>
      <x:c r="E67" s="19"/>
      <x:c r="F67" s="1"/>
      <x:c r="G67" s="1"/>
      <x:c r="H67" s="1"/>
      <x:c r="I67" s="1"/>
      <x:c r="J67" s="1"/>
      <x:c r="K67" s="1"/>
      <x:c r="L67" s="1"/>
      <x:c r="M67" s="1"/>
      <x:c r="N67" s="1"/>
      <x:c r="O67" s="1"/>
    </x:row>
    <x:row r="68" ht="16.5">
      <x:c r="A68"/>
      <x:c r="B68" s="11"/>
      <x:c r="C68" s="1"/>
      <x:c r="D68" s="19"/>
      <x:c r="E68" s="19"/>
      <x:c r="F68" s="1"/>
      <x:c r="G68" s="1"/>
      <x:c r="H68" s="1"/>
      <x:c r="I68" s="1"/>
      <x:c r="J68" s="1"/>
      <x:c r="K68" s="1"/>
      <x:c r="L68" s="1"/>
      <x:c r="M68" s="1"/>
      <x:c r="N68" s="1"/>
      <x:c r="O68" s="1"/>
    </x:row>
    <x:row r="69" ht="16.5">
      <x:c r="A69"/>
      <x:c r="B69" s="11"/>
      <x:c r="C69" s="1"/>
      <x:c r="D69" s="19"/>
      <x:c r="E69" s="19"/>
      <x:c r="F69" s="1"/>
      <x:c r="G69" s="1"/>
      <x:c r="H69" s="1"/>
      <x:c r="I69" s="1"/>
      <x:c r="J69" s="1"/>
      <x:c r="K69" s="1"/>
      <x:c r="L69" s="1"/>
      <x:c r="M69" s="1"/>
      <x:c r="N69" s="1"/>
      <x:c r="O69" s="1"/>
    </x:row>
    <x:row r="70" ht="16.5">
      <x:c r="A70"/>
      <x:c r="B70" s="11"/>
      <x:c r="C70" s="1"/>
      <x:c r="D70" s="19"/>
      <x:c r="E70" s="19"/>
      <x:c r="F70" s="1"/>
      <x:c r="G70" s="1"/>
      <x:c r="H70" s="1"/>
      <x:c r="I70" s="1"/>
      <x:c r="J70" s="1"/>
      <x:c r="K70" s="1"/>
      <x:c r="L70" s="1"/>
      <x:c r="M70" s="1"/>
      <x:c r="N70" s="1"/>
      <x:c r="O70" s="1"/>
    </x:row>
    <x:row r="71" ht="16.5">
      <x:c r="A71"/>
      <x:c r="B71" s="11"/>
      <x:c r="C71" s="1"/>
      <x:c r="D71" s="19"/>
      <x:c r="E71" s="19"/>
      <x:c r="F71" s="1"/>
      <x:c r="G71" s="1"/>
      <x:c r="H71" s="1"/>
      <x:c r="I71" s="1"/>
      <x:c r="J71" s="1"/>
      <x:c r="K71" s="1"/>
      <x:c r="L71" s="1"/>
      <x:c r="M71" s="1"/>
      <x:c r="N71" s="1"/>
      <x:c r="O71" s="1"/>
    </x:row>
    <x:row r="72" ht="16.5">
      <x:c r="A72"/>
      <x:c r="B72" s="11"/>
      <x:c r="C72" s="1"/>
      <x:c r="D72" s="19"/>
      <x:c r="E72" s="19"/>
      <x:c r="F72" s="1"/>
      <x:c r="G72" s="1"/>
      <x:c r="H72" s="1"/>
      <x:c r="I72" s="1"/>
      <x:c r="J72" s="1"/>
      <x:c r="K72" s="1"/>
      <x:c r="L72" s="1"/>
      <x:c r="M72" s="1"/>
      <x:c r="N72" s="1"/>
      <x:c r="O72" s="1"/>
    </x:row>
    <x:row r="73" ht="16.5">
      <x:c r="A73"/>
      <x:c r="B73" s="11"/>
      <x:c r="C73" s="1"/>
      <x:c r="D73" s="19"/>
      <x:c r="E73" s="19"/>
      <x:c r="F73" s="1"/>
      <x:c r="G73" s="1"/>
      <x:c r="H73" s="1"/>
      <x:c r="I73" s="1"/>
      <x:c r="J73" s="1"/>
      <x:c r="K73" s="1"/>
      <x:c r="L73" s="1"/>
      <x:c r="M73" s="1"/>
      <x:c r="N73" s="1"/>
      <x:c r="O73" s="1"/>
    </x:row>
    <x:row r="74" ht="16.5">
      <x:c r="A74"/>
      <x:c r="B74" s="11"/>
      <x:c r="C74" s="1"/>
      <x:c r="D74" s="19"/>
      <x:c r="E74" s="19"/>
      <x:c r="F74" s="1"/>
      <x:c r="G74" s="1"/>
      <x:c r="H74" s="1"/>
      <x:c r="I74" s="1"/>
      <x:c r="J74" s="1"/>
      <x:c r="K74" s="1"/>
      <x:c r="L74" s="1"/>
      <x:c r="M74" s="1"/>
      <x:c r="N74" s="1"/>
      <x:c r="O74" s="1"/>
    </x:row>
    <x:row r="75" ht="16.5">
      <x:c r="A75"/>
      <x:c r="B75" s="11"/>
      <x:c r="C75" s="1"/>
      <x:c r="D75" s="19"/>
      <x:c r="E75" s="19"/>
      <x:c r="F75" s="1"/>
      <x:c r="G75" s="1"/>
      <x:c r="H75" s="1"/>
      <x:c r="I75" s="1"/>
      <x:c r="J75" s="1"/>
      <x:c r="K75" s="1"/>
      <x:c r="L75" s="1"/>
      <x:c r="M75" s="1"/>
      <x:c r="N75" s="1"/>
      <x:c r="O75" s="1"/>
    </x:row>
    <x:row r="76" ht="16.5">
      <x:c r="A76"/>
      <x:c r="B76" s="11"/>
      <x:c r="C76" s="1"/>
      <x:c r="D76" s="19"/>
      <x:c r="E76" s="19"/>
      <x:c r="F76" s="1"/>
      <x:c r="G76" s="1"/>
      <x:c r="H76" s="1"/>
      <x:c r="I76" s="1"/>
      <x:c r="J76" s="1"/>
      <x:c r="K76" s="1"/>
      <x:c r="L76" s="1"/>
      <x:c r="M76" s="1"/>
      <x:c r="N76" s="1"/>
      <x:c r="O76" s="1"/>
    </x:row>
    <x:row r="77" ht="16.5">
      <x:c r="A77"/>
      <x:c r="B77" s="11"/>
      <x:c r="C77" s="1"/>
      <x:c r="D77" s="19"/>
      <x:c r="E77" s="19"/>
      <x:c r="F77" s="1"/>
      <x:c r="G77" s="1"/>
      <x:c r="H77" s="1"/>
      <x:c r="I77" s="1"/>
      <x:c r="J77" s="1"/>
      <x:c r="K77" s="1"/>
      <x:c r="L77" s="1"/>
      <x:c r="M77" s="1"/>
      <x:c r="N77" s="1"/>
      <x:c r="O77" s="1"/>
    </x:row>
  </x:sheetData>
  <x:mergeCells>
    <x:mergeCell ref="G5:I5"/>
  </x:mergeCells>
  <x:pageMargins left="0.7" right="0.7" top="0.75" bottom="0.75" header="0.3" footer="0.3"/>
  <x:drawing xmlns:r="http://schemas.openxmlformats.org/officeDocument/2006/relationships" r:id="R6152eeb40f92409d"/>
</x:worksheet>
</file>

<file path=xl/worksheets/sheet23.xml><?xml version="1.0" encoding="utf-8"?>
<x:worksheet xmlns:x="http://schemas.openxmlformats.org/spreadsheetml/2006/main">
  <x:sheetPr>
    <x:tabColor theme="5"/>
  </x:sheetPr>
  <x:sheetFormatPr defaultRowHeight="15"/>
  <x:cols>
    <x:col min="1" max="1" width="16.42578125" customWidth="1"/>
    <x:col min="2" max="2" width="15.140625" customWidth="1"/>
  </x:cols>
  <x:sheetData>
    <x:row r="1" ht="60" customHeight="1">
      <x:c r="A1" s="147" t="s">
        <x:v>34</x:v>
      </x:c>
      <x:c r="B1" s="151"/>
      <x:c r="C1" s="151"/>
      <x:c r="D1" s="151"/>
      <x:c r="E1" s="151"/>
      <x:c r="F1" s="151"/>
      <x:c r="G1" s="151"/>
      <x:c r="H1" s="151"/>
      <x:c r="I1" s="151"/>
      <x:c r="J1" s="151"/>
      <x:c r="K1" s="151"/>
      <x:c r="L1" s="151"/>
      <x:c r="M1" s="151"/>
      <x:c r="N1" s="151"/>
      <x:c r="O1" s="151"/>
      <x:c r="P1" s="151"/>
      <x:c r="Q1" s="151"/>
      <x:c r="R1" s="151"/>
      <x:c r="S1" s="151"/>
      <x:c r="T1" s="151"/>
    </x:row>
    <x:row r="2" ht="42" customHeight="1">
      <x:c r="A2"/>
      <x:c r="B2"/>
      <x:c r="C2"/>
    </x:row>
    <x:row r="3" ht="22.5" customHeight="1">
      <x:c r="A3" s="144" t="s">
        <x:v>35</x:v>
      </x:c>
      <x:c r="B3" s="145"/>
      <x:c r="C3" s="146"/>
    </x:row>
    <x:row r="4" ht="17.25">
      <x:c r="A4" s="44"/>
      <x:c r="B4" s="45"/>
      <x:c r="C4" s="46"/>
    </x:row>
    <x:row r="5" ht="17.25">
      <x:c r="A5" s="71" t="s">
        <x:v>36</x:v>
      </x:c>
      <x:c r="B5" s="72" t="str">
        <x:f>IF('SHOP SEPTEMBER 2026 (7)'!B40="","",'SHOP SEPTEMBER 2026 (7)'!B40)</x:f>
      </x:c>
      <x:c r="C5" s="47" t="str">
        <x:f>IFERROR(B5/B7,"")</x:f>
      </x:c>
    </x:row>
    <x:row r="6" ht="18">
      <x:c r="A6" s="73" t="s">
        <x:v>37</x:v>
      </x:c>
      <x:c r="B6" s="74" t="str">
        <x:f>IF('THIRD PARTY SEPTEMBER 2026 (7)'!B39="","",'THIRD PARTY SEPTEMBER 2026 (7)'!B39)</x:f>
      </x:c>
      <x:c r="C6" s="47" t="str">
        <x:f>IFERROR(B6/B7,"")</x:f>
      </x:c>
    </x:row>
    <x:row r="7" ht="16.5">
      <x:c r="A7" s="43"/>
      <x:c r="B7" s="42" t="str">
        <x:f>IF(SUM(B5:B6)=0,"",SUM(B5:B6))</x:f>
      </x:c>
      <x:c r="C7" s="48" t="str">
        <x:f>IF(SUM(C5:C6)=0,"",SUM(C5:C6))</x:f>
      </x:c>
    </x:row>
  </x:sheetData>
  <x:mergeCells>
    <x:mergeCell ref="A3:C3"/>
    <x:mergeCell ref="A1:T1"/>
  </x:mergeCells>
  <x:pageMargins left="0.7" right="0.7" top="0.75" bottom="0.75" header="0.3" footer="0.3"/>
  <x:drawing xmlns:r="http://schemas.openxmlformats.org/officeDocument/2006/relationships" r:id="R72c7c2e57b8b4a29"/>
</x:worksheet>
</file>

<file path=xl/worksheets/sheet24.xml><?xml version="1.0" encoding="utf-8"?>
<x:worksheet xmlns:x="http://schemas.openxmlformats.org/spreadsheetml/2006/main">
  <x:sheetPr>
    <x:tabColor rgb="FFCC99FF"/>
  </x:sheetPr>
  <x:sheetFormatPr defaultRowHeight="15"/>
  <x:cols>
    <x:col min="1" max="1" width="23.28515625" style="14" customWidth="1"/>
    <x:col min="2" max="2" width="15.5703125" style="6" customWidth="1"/>
    <x:col min="3" max="3" width="19" customWidth="1"/>
    <x:col min="4" max="4" width="13.85546875" style="20" customWidth="1"/>
    <x:col min="5" max="5" width="20.5703125" style="20" customWidth="1"/>
    <x:col min="6" max="6" width="13.85546875" style="8" customWidth="1"/>
    <x:col min="7" max="7" width="13.85546875" style="9" customWidth="1"/>
    <x:col min="9" max="9" width="17" customWidth="1"/>
    <x:col min="10" max="10" width="13.140625" customWidth="1"/>
    <x:col min="11" max="11" width="9.140625" customWidth="1"/>
  </x:cols>
  <x:sheetData>
    <x:row r="2" ht="18">
      <x:c r="A2" s="16" t="str">
        <x:v>DAILY SALES (6B)  - OCTOBER 2026</x:v>
      </x:c>
      <x:c r="B2" s="16"/>
      <x:c r="C2" s="16"/>
      <x:c r="D2" s="18"/>
      <x:c r="E2" s="18"/>
      <x:c r="F2" s="16"/>
      <x:c r="G2" s="18"/>
      <x:c r="H2" s="16"/>
      <x:c r="I2" s="16"/>
      <x:c r="J2" s="16"/>
      <x:c r="K2" s="16"/>
      <x:c r="L2" s="16"/>
      <x:c r="M2" s="16"/>
      <x:c r="N2" s="16"/>
      <x:c r="O2" s="16"/>
      <x:c r="P2" s="16"/>
    </x:row>
    <x:row r="3" ht="18">
      <x:c r="B3" s="24"/>
      <x:c r="C3" s="24"/>
      <x:c r="D3" s="18"/>
      <x:c r="E3" s="18"/>
      <x:c r="F3" s="24"/>
      <x:c r="G3" s="24"/>
      <x:c r="H3" s="24"/>
      <x:c r="I3" s="24"/>
      <x:c r="J3" s="24"/>
      <x:c r="K3" s="24"/>
      <x:c r="L3" s="24"/>
      <x:c r="M3" s="24"/>
      <x:c r="N3" s="24"/>
      <x:c r="O3" s="24"/>
      <x:c r="P3" s="24"/>
    </x:row>
    <x:row r="4" ht="16.5">
      <x:c r="B4" s="11"/>
      <x:c r="C4" s="1"/>
      <x:c r="D4" s="19"/>
      <x:c r="E4" s="19"/>
      <x:c r="F4" s="12"/>
      <x:c r="G4" s="13"/>
      <x:c r="H4" s="1"/>
      <x:c r="I4" s="1"/>
      <x:c r="J4" s="1"/>
      <x:c r="K4" s="1"/>
      <x:c r="L4" s="1"/>
      <x:c r="M4" s="1"/>
      <x:c r="N4" s="1"/>
      <x:c r="O4" s="1"/>
      <x:c r="P4" s="1"/>
    </x:row>
    <x:row r="5" ht="16.5">
      <x:c r="A5" s="21" t="s">
        <x:v>21</x:v>
      </x:c>
      <x:c r="B5" s="22" t="s">
        <x:v>22</x:v>
      </x:c>
      <x:c r="C5" s="106" t="s">
        <x:v>23</x:v>
      </x:c>
      <x:c r="D5" s="139" t="s">
        <x:v>24</x:v>
      </x:c>
      <x:c r="E5" s="140"/>
      <x:c r="F5" s="139" t="s">
        <x:v>25</x:v>
      </x:c>
      <x:c r="G5" s="141"/>
      <x:c r="H5" s="2"/>
      <x:c r="I5" s="135" t="s">
        <x:v>26</x:v>
      </x:c>
      <x:c r="J5" s="135"/>
      <x:c r="K5" s="135"/>
      <x:c r="L5" s="1"/>
      <x:c r="M5" s="1"/>
      <x:c r="N5" s="1"/>
      <x:c r="O5" s="1"/>
      <x:c r="P5" s="1"/>
    </x:row>
    <x:row r="6" ht="16.5">
      <x:c r="A6" s="21"/>
      <x:c r="B6" s="22"/>
      <x:c r="C6" s="23"/>
      <x:c r="D6" s="26" t="s">
        <x:v>27</x:v>
      </x:c>
      <x:c r="E6" s="26" t="s">
        <x:v>28</x:v>
      </x:c>
      <x:c r="F6" s="26" t="s">
        <x:v>29</x:v>
      </x:c>
      <x:c r="G6" s="26" t="s">
        <x:v>30</x:v>
      </x:c>
      <x:c r="H6" s="2"/>
      <x:c r="I6" s="17"/>
      <x:c r="J6" s="17"/>
      <x:c r="K6" s="17"/>
      <x:c r="L6" s="1"/>
      <x:c r="M6" s="1"/>
      <x:c r="N6" s="1"/>
      <x:c r="O6" s="1"/>
      <x:c r="P6" s="1"/>
    </x:row>
    <x:row r="7" ht="16.5">
      <x:c r="A7" s="15"/>
      <x:c r="B7" s="7"/>
      <x:c r="C7" s="5"/>
      <x:c r="D7" s="17"/>
      <x:c r="E7" s="17"/>
      <x:c r="F7" s="17"/>
      <x:c r="G7" s="17"/>
      <x:c r="H7" s="2"/>
      <x:c r="I7" s="17"/>
      <x:c r="J7" s="17"/>
      <x:c r="K7" s="17"/>
      <x:c r="L7" s="1"/>
      <x:c r="M7" s="1"/>
      <x:c r="N7" s="1"/>
      <x:c r="O7" s="1"/>
      <x:c r="P7" s="1"/>
    </x:row>
    <x:row r="8" ht="16.5">
      <x:c r="A8" s="171" t="n">
        <x:v>46296</x:v>
      </x:c>
      <x:c r="B8" s="52" t="str">
        <x:f t="shared" ref="B8:B35" si="0">IF(SUM(C8:G8)=0,"",SUM(C8:G8))</x:f>
      </x:c>
      <x:c r="C8" s="53"/>
      <x:c r="D8" s="54"/>
      <x:c r="E8" s="54"/>
      <x:c r="F8" s="53" t="str">
        <x:f>IF('RETAIL &amp; PRINT'!Q11="","",'RETAIL &amp; PRINT'!Q11)</x:f>
      </x:c>
      <x:c r="G8" s="53" t="str">
        <x:f>IF(F8="","",F8*10%)</x:f>
      </x:c>
      <x:c r="H8" s="1"/>
      <x:c r="I8" s="3" t="str">
        <x:f>C5</x:f>
        <x:v>Footwear</x:v>
      </x:c>
      <x:c r="J8" s="10" t="str">
        <x:f>IF(C39="","",C39)</x:f>
      </x:c>
      <x:c r="K8" s="4" t="str">
        <x:f>IFERROR(C39/B40,"")</x:f>
      </x:c>
      <x:c r="L8" s="1"/>
      <x:c r="M8" s="1"/>
      <x:c r="N8" s="1"/>
      <x:c r="O8" s="1"/>
      <x:c r="P8" s="1"/>
    </x:row>
    <x:row r="9" ht="16.5">
      <x:c r="A9" s="171" t="n">
        <x:v>46297</x:v>
      </x:c>
      <x:c r="B9" s="52" t="str">
        <x:f t="shared" si="0">IF(SUM(C9:G9)=0,"",SUM(C9:G9))</x:f>
      </x:c>
      <x:c r="C9" s="53"/>
      <x:c r="D9" s="54"/>
      <x:c r="E9" s="54"/>
      <x:c r="F9" s="53" t="str">
        <x:f>IF('RETAIL &amp; PRINT'!Q12="","",'RETAIL &amp; PRINT'!Q12)</x:f>
      </x:c>
      <x:c r="G9" s="53" t="str">
        <x:f t="shared" ref="G9:G38" si="1">IF(F9="","",F9*10%)</x:f>
      </x:c>
      <x:c r="H9" s="1"/>
      <x:c r="I9" s="3" t="str">
        <x:f>D5</x:f>
        <x:v>Deep Cleaning</x:v>
      </x:c>
      <x:c r="J9" s="10" t="str">
        <x:f>IF(D40="","",D40)</x:f>
      </x:c>
      <x:c r="K9" s="4" t="str">
        <x:f>IFERROR(D40/$B$40,"")</x:f>
      </x:c>
      <x:c r="L9" s="1"/>
      <x:c r="M9" s="1"/>
      <x:c r="N9" s="1"/>
      <x:c r="O9" s="1"/>
      <x:c r="P9" s="1"/>
    </x:row>
    <x:row r="10" ht="16.5">
      <x:c r="A10" s="171" t="n">
        <x:v>46298</x:v>
      </x:c>
      <x:c r="B10" s="52" t="str">
        <x:f t="shared" si="0">IF(SUM(C10:G10)=0,"",SUM(C10:G10))</x:f>
      </x:c>
      <x:c r="C10" s="53"/>
      <x:c r="D10" s="54"/>
      <x:c r="E10" s="54"/>
      <x:c r="F10" s="53" t="str">
        <x:f>IF('RETAIL &amp; PRINT'!Q13="","",'RETAIL &amp; PRINT'!Q13)</x:f>
      </x:c>
      <x:c r="G10" s="53" t="str">
        <x:f t="shared" si="1">IF(F10="","",F10*10%)</x:f>
      </x:c>
      <x:c r="H10" s="1"/>
      <x:c r="I10" s="3" t="str">
        <x:f>F5</x:f>
        <x:v>Print &amp; Retail</x:v>
      </x:c>
      <x:c r="J10" s="10" t="str">
        <x:f>IF(F40="","",F40)</x:f>
      </x:c>
      <x:c r="K10" s="4" t="str">
        <x:f>IFERROR(SUM(F39:G39)/B40,"")</x:f>
      </x:c>
      <x:c r="L10" s="1"/>
      <x:c r="M10" s="1"/>
      <x:c r="N10" s="1"/>
      <x:c r="O10" s="1"/>
      <x:c r="P10" s="1"/>
    </x:row>
    <x:row r="11" ht="16.5">
      <x:c r="A11" s="171" t="n">
        <x:v>46299</x:v>
      </x:c>
      <x:c r="B11" s="52" t="str">
        <x:f t="shared" si="0">IF(SUM(C11:G11)=0,"",SUM(C11:G11))</x:f>
      </x:c>
      <x:c r="C11" s="53"/>
      <x:c r="D11" s="54"/>
      <x:c r="E11" s="54"/>
      <x:c r="F11" s="53" t="str">
        <x:f>IF('RETAIL &amp; PRINT'!Q14="","",'RETAIL &amp; PRINT'!Q14)</x:f>
      </x:c>
      <x:c r="G11" s="53" t="str">
        <x:f t="shared" si="1">IF(F11="","",F11*10%)</x:f>
      </x:c>
      <x:c r="H11" s="1"/>
      <x:c r="I11" s="3"/>
      <x:c r="J11" s="10"/>
      <x:c r="K11" s="4"/>
      <x:c r="L11" s="1"/>
      <x:c r="M11" s="1"/>
      <x:c r="N11" s="1"/>
      <x:c r="O11" s="1"/>
      <x:c r="P11" s="1"/>
    </x:row>
    <x:row r="12" ht="16.5">
      <x:c r="A12" s="171" t="n">
        <x:v>46300</x:v>
      </x:c>
      <x:c r="B12" s="98" t="str">
        <x:f t="shared" si="0">IF(SUM(C12:G12)=0,"",SUM(C12:G12))</x:f>
      </x:c>
      <x:c r="C12" s="99"/>
      <x:c r="D12" s="100"/>
      <x:c r="E12" s="100"/>
      <x:c r="F12" s="99" t="str">
        <x:f>IF('RETAIL &amp; PRINT'!Q15="","",'RETAIL &amp; PRINT'!Q15)</x:f>
      </x:c>
      <x:c r="G12" s="53" t="str">
        <x:f t="shared" si="1">IF(F12="","",F12*10%)</x:f>
      </x:c>
      <x:c r="H12" s="1"/>
      <x:c r="I12" s="3"/>
      <x:c r="J12" s="10" t="str">
        <x:f>IF(SUM(J8:J11)=0,"",SUM(J8:J11))</x:f>
      </x:c>
      <x:c r="K12" s="4" t="str">
        <x:f>IF(SUM(K8:K11)=0,"",SUM(K8:K11))</x:f>
      </x:c>
      <x:c r="L12" s="1"/>
      <x:c r="M12" s="1"/>
      <x:c r="N12" s="1"/>
      <x:c r="O12" s="1"/>
      <x:c r="P12" s="1"/>
    </x:row>
    <x:row r="13" ht="16.5">
      <x:c r="A13" s="171" t="n">
        <x:v>46301</x:v>
      </x:c>
      <x:c r="B13" s="98" t="str">
        <x:f t="shared" si="0">IF(SUM(C13:G13)=0,"",SUM(C13:G13))</x:f>
      </x:c>
      <x:c r="C13" s="99"/>
      <x:c r="D13" s="100"/>
      <x:c r="E13" s="100"/>
      <x:c r="F13" s="99" t="str">
        <x:f>IF('RETAIL &amp; PRINT'!Q16="","",'RETAIL &amp; PRINT'!Q16)</x:f>
      </x:c>
      <x:c r="G13" s="53" t="str">
        <x:f t="shared" si="1">IF(F13="","",F13*10%)</x:f>
      </x:c>
      <x:c r="H13" s="1"/>
      <x:c r="I13" s="1"/>
      <x:c r="J13" s="1"/>
      <x:c r="K13" s="1"/>
      <x:c r="L13" s="1"/>
      <x:c r="M13" s="1"/>
      <x:c r="N13" s="1"/>
      <x:c r="O13" s="1"/>
      <x:c r="P13" s="1"/>
    </x:row>
    <x:row r="14" ht="16.5">
      <x:c r="A14" s="171" t="n">
        <x:v>46302</x:v>
      </x:c>
      <x:c r="B14" s="98" t="str">
        <x:f t="shared" si="0">IF(SUM(C14:G14)=0,"",SUM(C14:G14))</x:f>
      </x:c>
      <x:c r="C14" s="99"/>
      <x:c r="D14" s="100"/>
      <x:c r="E14" s="100"/>
      <x:c r="F14" s="99" t="str">
        <x:f>IF('RETAIL &amp; PRINT'!Q17="","",'RETAIL &amp; PRINT'!Q17)</x:f>
      </x:c>
      <x:c r="G14" s="53" t="str">
        <x:f t="shared" si="1">IF(F14="","",F14*10%)</x:f>
      </x:c>
      <x:c r="H14" s="1"/>
      <x:c r="I14" s="1"/>
      <x:c r="J14" s="27"/>
      <x:c r="K14" s="28"/>
      <x:c r="L14" s="1"/>
      <x:c r="M14" s="1"/>
      <x:c r="N14" s="1"/>
      <x:c r="O14" s="1"/>
      <x:c r="P14" s="1"/>
    </x:row>
    <x:row r="15" ht="16.5">
      <x:c r="A15" s="171" t="n">
        <x:v>46303</x:v>
      </x:c>
      <x:c r="B15" s="98" t="str">
        <x:f t="shared" si="0">IF(SUM(C15:G15)=0,"",SUM(C15:G15))</x:f>
      </x:c>
      <x:c r="C15" s="99"/>
      <x:c r="D15" s="100"/>
      <x:c r="E15" s="100"/>
      <x:c r="F15" s="99" t="str">
        <x:f>IF('RETAIL &amp; PRINT'!Q18="","",'RETAIL &amp; PRINT'!Q18)</x:f>
      </x:c>
      <x:c r="G15" s="53" t="str">
        <x:f t="shared" si="1">IF(F15="","",F15*10%)</x:f>
      </x:c>
      <x:c r="H15" s="1"/>
      <x:c r="I15" s="1"/>
      <x:c r="J15" s="1"/>
      <x:c r="K15" s="1"/>
      <x:c r="L15" s="1"/>
      <x:c r="M15" s="1"/>
      <x:c r="N15" s="1"/>
      <x:c r="O15" s="1"/>
      <x:c r="P15" s="1"/>
    </x:row>
    <x:row r="16" ht="16.5">
      <x:c r="A16" s="171" t="n">
        <x:v>46304</x:v>
      </x:c>
      <x:c r="B16" s="98" t="str">
        <x:f t="shared" si="0">IF(SUM(C16:G16)=0,"",SUM(C16:G16))</x:f>
      </x:c>
      <x:c r="C16" s="99"/>
      <x:c r="D16" s="100"/>
      <x:c r="E16" s="100"/>
      <x:c r="F16" s="99" t="str">
        <x:f>IF('RETAIL &amp; PRINT'!Q19="","",'RETAIL &amp; PRINT'!Q19)</x:f>
      </x:c>
      <x:c r="G16" s="53" t="str">
        <x:f t="shared" si="1">IF(F16="","",F16*10%)</x:f>
      </x:c>
      <x:c r="H16" s="1"/>
      <x:c r="I16" s="1"/>
      <x:c r="J16" s="1"/>
      <x:c r="K16" s="1"/>
      <x:c r="L16" s="1"/>
      <x:c r="M16" s="1"/>
      <x:c r="N16" s="1"/>
      <x:c r="O16" s="1"/>
      <x:c r="P16" s="1"/>
    </x:row>
    <x:row r="17" ht="16.5">
      <x:c r="A17" s="171" t="n">
        <x:v>46305</x:v>
      </x:c>
      <x:c r="B17" s="98" t="str">
        <x:f t="shared" si="0">IF(SUM(C17:G17)=0,"",SUM(C17:G17))</x:f>
      </x:c>
      <x:c r="C17" s="99"/>
      <x:c r="D17" s="100"/>
      <x:c r="E17" s="100"/>
      <x:c r="F17" s="99" t="str">
        <x:f>IF('RETAIL &amp; PRINT'!Q20="","",'RETAIL &amp; PRINT'!Q20)</x:f>
      </x:c>
      <x:c r="G17" s="53" t="str">
        <x:f t="shared" si="1">IF(F17="","",F17*10%)</x:f>
      </x:c>
      <x:c r="H17" s="1"/>
      <x:c r="I17" s="1"/>
      <x:c r="J17" s="1"/>
      <x:c r="K17" s="1"/>
      <x:c r="L17" s="1"/>
      <x:c r="M17" s="1"/>
      <x:c r="N17" s="1"/>
      <x:c r="O17" s="1"/>
      <x:c r="P17" s="1"/>
    </x:row>
    <x:row r="18" ht="16.5">
      <x:c r="A18" s="171" t="n">
        <x:v>46306</x:v>
      </x:c>
      <x:c r="B18" s="98" t="str">
        <x:f t="shared" si="0">IF(SUM(C18:G18)=0,"",SUM(C18:G18))</x:f>
      </x:c>
      <x:c r="C18" s="99"/>
      <x:c r="D18" s="100"/>
      <x:c r="E18" s="100"/>
      <x:c r="F18" s="99" t="str">
        <x:f>IF('RETAIL &amp; PRINT'!Q21="","",'RETAIL &amp; PRINT'!Q21)</x:f>
      </x:c>
      <x:c r="G18" s="53" t="str">
        <x:f t="shared" si="1">IF(F18="","",F18*10%)</x:f>
      </x:c>
      <x:c r="H18" s="1"/>
      <x:c r="I18" s="1"/>
      <x:c r="J18" s="1"/>
      <x:c r="K18" s="1"/>
      <x:c r="L18" s="1"/>
      <x:c r="M18" s="1"/>
      <x:c r="N18" s="1"/>
      <x:c r="O18" s="1"/>
      <x:c r="P18" s="1"/>
    </x:row>
    <x:row r="19" ht="16.5">
      <x:c r="A19" s="171" t="n">
        <x:v>46307</x:v>
      </x:c>
      <x:c r="B19" s="98" t="str">
        <x:f t="shared" si="0">IF(SUM(C19:G19)=0,"",SUM(C19:G19))</x:f>
      </x:c>
      <x:c r="C19" s="99"/>
      <x:c r="D19" s="100"/>
      <x:c r="E19" s="100"/>
      <x:c r="F19" s="99" t="str">
        <x:f t="shared" ref="F19:F33" si="2">IF('RETAIL &amp; PRINT'!Q22="","",'RETAIL &amp; PRINT'!Q22)</x:f>
      </x:c>
      <x:c r="G19" s="53" t="str">
        <x:f t="shared" si="1">IF(F19="","",F19*10%)</x:f>
      </x:c>
      <x:c r="H19" s="1"/>
      <x:c r="I19" s="1"/>
      <x:c r="J19" s="1"/>
      <x:c r="K19" s="1"/>
      <x:c r="L19" s="1"/>
      <x:c r="M19" s="1"/>
      <x:c r="N19" s="1"/>
      <x:c r="O19" s="1"/>
      <x:c r="P19" s="1"/>
    </x:row>
    <x:row r="20" ht="16.5">
      <x:c r="A20" s="171" t="n">
        <x:v>46308</x:v>
      </x:c>
      <x:c r="B20" s="98" t="str">
        <x:f t="shared" si="0">IF(SUM(C20:G20)=0,"",SUM(C20:G20))</x:f>
      </x:c>
      <x:c r="C20" s="99"/>
      <x:c r="D20" s="100"/>
      <x:c r="E20" s="100"/>
      <x:c r="F20" s="99" t="str">
        <x:f>IF('RETAIL &amp; PRINT'!Q23="","",'RETAIL &amp; PRINT'!Q23)</x:f>
      </x:c>
      <x:c r="G20" s="53" t="str">
        <x:f t="shared" si="1">IF(F20="","",F20*10%)</x:f>
      </x:c>
      <x:c r="H20" s="1"/>
      <x:c r="I20" s="1"/>
      <x:c r="J20" s="1"/>
      <x:c r="K20" s="1"/>
      <x:c r="L20" s="1"/>
      <x:c r="M20" s="1"/>
      <x:c r="N20" s="1"/>
      <x:c r="O20" s="1"/>
      <x:c r="P20" s="1"/>
    </x:row>
    <x:row r="21" ht="16.5">
      <x:c r="A21" s="171" t="n">
        <x:v>46309</x:v>
      </x:c>
      <x:c r="B21" s="98" t="str">
        <x:f t="shared" si="0">IF(SUM(C21:G21)=0,"",SUM(C21:G21))</x:f>
      </x:c>
      <x:c r="C21" s="99"/>
      <x:c r="D21" s="100"/>
      <x:c r="E21" s="100"/>
      <x:c r="F21" s="99" t="str">
        <x:f>IF('RETAIL &amp; PRINT'!Q24="","",'RETAIL &amp; PRINT'!Q24)</x:f>
      </x:c>
      <x:c r="G21" s="53" t="str">
        <x:f t="shared" si="1">IF(F21="","",F21*10%)</x:f>
      </x:c>
      <x:c r="H21" s="1"/>
      <x:c r="I21" s="1"/>
      <x:c r="J21" s="1"/>
      <x:c r="K21" s="1"/>
      <x:c r="L21" s="1"/>
      <x:c r="M21" s="1"/>
      <x:c r="N21" s="1"/>
      <x:c r="O21" s="1"/>
      <x:c r="P21" s="1"/>
    </x:row>
    <x:row r="22" ht="16.5">
      <x:c r="A22" s="171" t="n">
        <x:v>46310</x:v>
      </x:c>
      <x:c r="B22" s="98" t="str">
        <x:f t="shared" si="0">IF(SUM(C22:G22)=0,"",SUM(C22:G22))</x:f>
      </x:c>
      <x:c r="C22" s="99"/>
      <x:c r="D22" s="100"/>
      <x:c r="E22" s="100"/>
      <x:c r="F22" s="99" t="str">
        <x:f>IF('RETAIL &amp; PRINT'!Q25="","",'RETAIL &amp; PRINT'!Q25)</x:f>
      </x:c>
      <x:c r="G22" s="53" t="str">
        <x:f t="shared" si="1">IF(F22="","",F22*10%)</x:f>
      </x:c>
      <x:c r="H22" s="1"/>
      <x:c r="I22" s="1"/>
      <x:c r="J22" s="1"/>
      <x:c r="K22" s="1"/>
      <x:c r="L22" s="1"/>
      <x:c r="M22" s="1"/>
      <x:c r="N22" s="1"/>
      <x:c r="O22" s="1"/>
      <x:c r="P22" s="1"/>
    </x:row>
    <x:row r="23" ht="16.5">
      <x:c r="A23" s="171" t="n">
        <x:v>46311</x:v>
      </x:c>
      <x:c r="B23" s="98" t="str">
        <x:f t="shared" si="0">IF(SUM(C23:G23)=0,"",SUM(C23:G23))</x:f>
      </x:c>
      <x:c r="C23" s="99"/>
      <x:c r="D23" s="100"/>
      <x:c r="E23" s="100"/>
      <x:c r="F23" s="99" t="str">
        <x:f>IF('RETAIL &amp; PRINT'!Q26="","",'RETAIL &amp; PRINT'!Q26)</x:f>
      </x:c>
      <x:c r="G23" s="53" t="str">
        <x:f t="shared" si="1">IF(F23="","",F23*10%)</x:f>
      </x:c>
      <x:c r="H23" s="1"/>
      <x:c r="I23" s="1"/>
      <x:c r="J23" s="1"/>
      <x:c r="K23" s="1"/>
      <x:c r="L23" s="1"/>
      <x:c r="M23" s="1"/>
      <x:c r="N23" s="1"/>
      <x:c r="O23" s="1"/>
      <x:c r="P23" s="1"/>
    </x:row>
    <x:row r="24" ht="16.5">
      <x:c r="A24" s="171" t="n">
        <x:v>46312</x:v>
      </x:c>
      <x:c r="B24" s="98" t="str">
        <x:f t="shared" si="0">IF(SUM(C24:G24)=0,"",SUM(C24:G24))</x:f>
      </x:c>
      <x:c r="C24" s="99"/>
      <x:c r="D24" s="100"/>
      <x:c r="E24" s="100"/>
      <x:c r="F24" s="99" t="str">
        <x:f>IF('RETAIL &amp; PRINT'!Q27="","",'RETAIL &amp; PRINT'!Q27)</x:f>
      </x:c>
      <x:c r="G24" s="53" t="str">
        <x:f t="shared" si="1">IF(F24="","",F24*10%)</x:f>
      </x:c>
      <x:c r="H24" s="1"/>
      <x:c r="I24" s="1"/>
      <x:c r="J24" s="1"/>
      <x:c r="K24" s="1"/>
      <x:c r="L24" s="1"/>
      <x:c r="M24" s="1"/>
      <x:c r="N24" s="1"/>
      <x:c r="O24" s="1"/>
      <x:c r="P24" s="1"/>
    </x:row>
    <x:row r="25" ht="16.5">
      <x:c r="A25" s="171" t="n">
        <x:v>46313</x:v>
      </x:c>
      <x:c r="B25" s="98" t="str">
        <x:f t="shared" si="0">IF(SUM(C25:G25)=0,"",SUM(C25:G25))</x:f>
      </x:c>
      <x:c r="C25" s="99"/>
      <x:c r="D25" s="100"/>
      <x:c r="E25" s="100"/>
      <x:c r="F25" s="99" t="str">
        <x:f>IF('RETAIL &amp; PRINT'!Q28="","",'RETAIL &amp; PRINT'!Q28)</x:f>
      </x:c>
      <x:c r="G25" s="53" t="str">
        <x:f t="shared" si="1">IF(F25="","",F25*10%)</x:f>
      </x:c>
      <x:c r="H25" s="1"/>
      <x:c r="I25" s="34"/>
      <x:c r="J25" s="34"/>
      <x:c r="K25" s="34"/>
      <x:c r="L25" s="1"/>
      <x:c r="M25" s="1"/>
      <x:c r="N25" s="1"/>
      <x:c r="O25" s="1"/>
      <x:c r="P25" s="1"/>
    </x:row>
    <x:row r="26" ht="16.5">
      <x:c r="A26" s="171" t="n">
        <x:v>46314</x:v>
      </x:c>
      <x:c r="B26" s="98" t="str">
        <x:f t="shared" si="0">IF(SUM(C26:G26)=0,"",SUM(C26:G26))</x:f>
      </x:c>
      <x:c r="C26" s="99"/>
      <x:c r="D26" s="100"/>
      <x:c r="E26" s="100"/>
      <x:c r="F26" s="99" t="str">
        <x:f t="shared" si="2">IF('RETAIL &amp; PRINT'!Q29="","",'RETAIL &amp; PRINT'!Q29)</x:f>
      </x:c>
      <x:c r="G26" s="53" t="str">
        <x:f t="shared" si="1">IF(F26="","",F26*10%)</x:f>
      </x:c>
      <x:c r="H26" s="1"/>
      <x:c r="I26" s="33"/>
      <x:c r="J26" s="33"/>
      <x:c r="K26" s="33"/>
      <x:c r="L26" s="1"/>
      <x:c r="M26" s="1"/>
      <x:c r="N26" s="1"/>
      <x:c r="O26" s="1"/>
      <x:c r="P26" s="1"/>
    </x:row>
    <x:row r="27" ht="16.5">
      <x:c r="A27" s="171" t="n">
        <x:v>46315</x:v>
      </x:c>
      <x:c r="B27" s="98" t="str">
        <x:f t="shared" si="0">IF(SUM(C27:G27)=0,"",SUM(C27:G27))</x:f>
      </x:c>
      <x:c r="C27" s="99"/>
      <x:c r="D27" s="100"/>
      <x:c r="E27" s="100"/>
      <x:c r="F27" s="99" t="str">
        <x:f>IF('RETAIL &amp; PRINT'!Q30="","",'RETAIL &amp; PRINT'!Q30)</x:f>
      </x:c>
      <x:c r="G27" s="53" t="str">
        <x:f t="shared" si="1">IF(F27="","",F27*10%)</x:f>
      </x:c>
      <x:c r="H27" s="1"/>
      <x:c r="I27" s="34"/>
      <x:c r="J27" s="35"/>
      <x:c r="K27" s="36"/>
      <x:c r="L27" s="1"/>
      <x:c r="M27" s="1"/>
      <x:c r="N27" s="1"/>
      <x:c r="O27" s="1"/>
      <x:c r="P27" s="1"/>
    </x:row>
    <x:row r="28" ht="16.5">
      <x:c r="A28" s="171" t="n">
        <x:v>46316</x:v>
      </x:c>
      <x:c r="B28" s="98" t="str">
        <x:f t="shared" si="0">IF(SUM(C28:G28)=0,"",SUM(C28:G28))</x:f>
      </x:c>
      <x:c r="C28" s="99"/>
      <x:c r="D28" s="100"/>
      <x:c r="E28" s="100"/>
      <x:c r="F28" s="99" t="str">
        <x:f>IF('RETAIL &amp; PRINT'!Q31="","",'RETAIL &amp; PRINT'!Q31)</x:f>
      </x:c>
      <x:c r="G28" s="53" t="str">
        <x:f t="shared" si="1">IF(F28="","",F28*10%)</x:f>
      </x:c>
      <x:c r="H28" s="1"/>
      <x:c r="I28" s="34"/>
      <x:c r="J28" s="37"/>
      <x:c r="K28" s="36"/>
      <x:c r="L28" s="1"/>
      <x:c r="M28" s="1"/>
      <x:c r="N28" s="1"/>
      <x:c r="O28" s="1"/>
      <x:c r="P28" s="1"/>
    </x:row>
    <x:row r="29" ht="16.5">
      <x:c r="A29" s="171" t="n">
        <x:v>46317</x:v>
      </x:c>
      <x:c r="B29" s="98" t="str">
        <x:f t="shared" si="0">IF(SUM(C29:G29)=0,"",SUM(C29:G29))</x:f>
      </x:c>
      <x:c r="C29" s="99"/>
      <x:c r="D29" s="100"/>
      <x:c r="E29" s="103"/>
      <x:c r="F29" s="99" t="str">
        <x:f>IF('RETAIL &amp; PRINT'!Q32="","",'RETAIL &amp; PRINT'!Q32)</x:f>
      </x:c>
      <x:c r="G29" s="53" t="str">
        <x:f t="shared" si="1">IF(F29="","",F29*10%)</x:f>
      </x:c>
      <x:c r="H29" s="1"/>
      <x:c r="I29" s="1"/>
      <x:c r="J29" s="29"/>
      <x:c r="K29" s="30"/>
      <x:c r="L29" s="1"/>
      <x:c r="M29" s="1"/>
      <x:c r="N29" s="1"/>
      <x:c r="O29" s="1"/>
      <x:c r="P29" s="1"/>
    </x:row>
    <x:row r="30" ht="16.5">
      <x:c r="A30" s="171" t="n">
        <x:v>46318</x:v>
      </x:c>
      <x:c r="B30" s="98" t="str">
        <x:f t="shared" si="0">IF(SUM(C30:G30)=0,"",SUM(C30:G30))</x:f>
      </x:c>
      <x:c r="C30" s="99"/>
      <x:c r="D30" s="100"/>
      <x:c r="E30" s="100"/>
      <x:c r="F30" s="99" t="str">
        <x:f>IF('RETAIL &amp; PRINT'!Q33="","",'RETAIL &amp; PRINT'!Q33)</x:f>
      </x:c>
      <x:c r="G30" s="53" t="str">
        <x:f t="shared" si="1">IF(F30="","",F30*10%)</x:f>
      </x:c>
      <x:c r="H30" s="1"/>
      <x:c r="I30" s="1"/>
      <x:c r="J30" s="31"/>
      <x:c r="K30" s="30"/>
      <x:c r="L30" s="1"/>
      <x:c r="M30" s="1"/>
      <x:c r="N30" s="1"/>
      <x:c r="O30" s="1"/>
      <x:c r="P30" s="1"/>
    </x:row>
    <x:row r="31" ht="16.5">
      <x:c r="A31" s="171" t="n">
        <x:v>46319</x:v>
      </x:c>
      <x:c r="B31" s="98" t="str">
        <x:f t="shared" si="0">IF(SUM(C31:G31)=0,"",SUM(C31:G31))</x:f>
      </x:c>
      <x:c r="C31" s="99"/>
      <x:c r="D31" s="100"/>
      <x:c r="E31" s="100"/>
      <x:c r="F31" s="99" t="str">
        <x:f>IF('RETAIL &amp; PRINT'!Q34="","",'RETAIL &amp; PRINT'!Q34)</x:f>
      </x:c>
      <x:c r="G31" s="53" t="str">
        <x:f t="shared" si="1">IF(F31="","",F31*10%)</x:f>
      </x:c>
      <x:c r="I31" s="1"/>
      <x:c r="J31" s="29"/>
      <x:c r="K31" s="30"/>
      <x:c r="L31" s="1"/>
      <x:c r="M31" s="1"/>
      <x:c r="N31" s="1"/>
      <x:c r="O31" s="1"/>
      <x:c r="P31" s="1"/>
    </x:row>
    <x:row r="32" ht="16.5">
      <x:c r="A32" s="171" t="n">
        <x:v>46320</x:v>
      </x:c>
      <x:c r="B32" s="98" t="str">
        <x:f t="shared" si="0">IF(SUM(C32:G32)=0,"",SUM(C32:G32))</x:f>
      </x:c>
      <x:c r="C32" s="99"/>
      <x:c r="D32" s="100"/>
      <x:c r="E32" s="100"/>
      <x:c r="F32" s="99" t="str">
        <x:f>IF('RETAIL &amp; PRINT'!Q35="","",'RETAIL &amp; PRINT'!Q35)</x:f>
      </x:c>
      <x:c r="G32" s="53" t="str">
        <x:f t="shared" si="1">IF(F32="","",F32*10%)</x:f>
      </x:c>
      <x:c r="H32" s="1"/>
      <x:c r="I32" s="1"/>
      <x:c r="J32" s="31"/>
      <x:c r="K32" s="30"/>
      <x:c r="L32" s="1"/>
      <x:c r="M32" s="1"/>
      <x:c r="N32" s="1"/>
      <x:c r="O32" s="1"/>
      <x:c r="P32" s="1"/>
    </x:row>
    <x:row r="33" ht="16.5">
      <x:c r="A33" s="171" t="n">
        <x:v>46321</x:v>
      </x:c>
      <x:c r="B33" s="98" t="str">
        <x:f t="shared" si="0">IF(SUM(C33:G33)=0,"",SUM(C33:G33))</x:f>
      </x:c>
      <x:c r="C33" s="99"/>
      <x:c r="D33" s="100"/>
      <x:c r="E33" s="100"/>
      <x:c r="F33" s="99" t="str">
        <x:f t="shared" si="2">IF('RETAIL &amp; PRINT'!Q36="","",'RETAIL &amp; PRINT'!Q36)</x:f>
      </x:c>
      <x:c r="G33" s="53" t="str">
        <x:f t="shared" si="1">IF(F33="","",F33*10%)</x:f>
      </x:c>
      <x:c r="H33" s="1"/>
      <x:c r="I33" s="1"/>
      <x:c r="J33" s="32"/>
      <x:c r="K33" s="30"/>
      <x:c r="L33" s="1"/>
      <x:c r="M33" s="1"/>
      <x:c r="N33" s="1"/>
      <x:c r="O33" s="1"/>
      <x:c r="P33" s="1"/>
    </x:row>
    <x:row r="34" ht="16.5">
      <x:c r="A34" s="171" t="n">
        <x:v>46322</x:v>
      </x:c>
      <x:c r="B34" s="98" t="str">
        <x:f t="shared" si="0">IF(SUM(C34:G34)=0,"",SUM(C34:G34))</x:f>
      </x:c>
      <x:c r="C34" s="99"/>
      <x:c r="D34" s="100"/>
      <x:c r="E34" s="100"/>
      <x:c r="F34" s="99" t="str">
        <x:f>IF('RETAIL &amp; PRINT'!Q37="","",'RETAIL &amp; PRINT'!Q37)</x:f>
      </x:c>
      <x:c r="G34" s="53" t="str">
        <x:f t="shared" si="1">IF(F34="","",F34*10%)</x:f>
      </x:c>
      <x:c r="H34" s="1"/>
      <x:c r="I34" s="1"/>
      <x:c r="J34" s="1"/>
      <x:c r="K34" s="1"/>
      <x:c r="L34" s="1"/>
      <x:c r="M34" s="1"/>
      <x:c r="N34" s="1"/>
      <x:c r="O34" s="1"/>
      <x:c r="P34" s="1"/>
    </x:row>
    <x:row r="35" ht="16.5">
      <x:c r="A35" s="171" t="n">
        <x:v>46323</x:v>
      </x:c>
      <x:c r="B35" s="98" t="str">
        <x:f t="shared" si="0">IF(SUM(C35:G35)=0,"",SUM(C35:G35))</x:f>
      </x:c>
      <x:c r="C35" s="99"/>
      <x:c r="D35" s="100"/>
      <x:c r="E35" s="100"/>
      <x:c r="F35" s="99" t="str">
        <x:f>IF('RETAIL &amp; PRINT'!Q38="","",'RETAIL &amp; PRINT'!Q38)</x:f>
      </x:c>
      <x:c r="G35" s="53" t="str">
        <x:f t="shared" si="1">IF(F35="","",F35*10%)</x:f>
      </x:c>
      <x:c r="H35" s="1"/>
      <x:c r="I35" s="1"/>
      <x:c r="J35" s="1"/>
      <x:c r="K35" s="1"/>
      <x:c r="L35" s="1"/>
      <x:c r="M35" s="1"/>
      <x:c r="N35" s="1"/>
      <x:c r="O35" s="1"/>
      <x:c r="P35" s="1"/>
    </x:row>
    <x:row r="36" ht="16.5">
      <x:c r="A36" s="171" t="n">
        <x:v>46324</x:v>
      </x:c>
      <x:c r="B36" s="98" t="str">
        <x:f>IF(SUM(C36:G36)=0,"",SUM(C36:G36))</x:f>
      </x:c>
      <x:c r="C36" s="99"/>
      <x:c r="D36" s="100"/>
      <x:c r="E36" s="100"/>
      <x:c r="F36" s="99" t="str">
        <x:f>IF('RETAIL &amp; PRINT'!Q39="","",'RETAIL &amp; PRINT'!Q39)</x:f>
      </x:c>
      <x:c r="G36" s="53" t="str">
        <x:f t="shared" si="1">IF(F36="","",F36*10%)</x:f>
      </x:c>
      <x:c r="H36" s="1"/>
      <x:c r="I36" s="1"/>
      <x:c r="J36" s="1"/>
      <x:c r="K36" s="1"/>
      <x:c r="L36" s="1"/>
      <x:c r="M36" s="1"/>
      <x:c r="N36" s="1"/>
      <x:c r="O36" s="1"/>
      <x:c r="P36" s="1"/>
    </x:row>
    <x:row r="37" ht="16.5">
      <x:c r="A37" s="171" t="n">
        <x:v>46325</x:v>
      </x:c>
      <x:c r="B37" s="98" t="str">
        <x:f>IF(SUM(C37:G37)=0,"",SUM(C37:G37))</x:f>
      </x:c>
      <x:c r="C37" s="99"/>
      <x:c r="D37" s="100"/>
      <x:c r="E37" s="100"/>
      <x:c r="F37" s="99" t="str">
        <x:f>IF('RETAIL &amp; PRINT'!Q40="","",'RETAIL &amp; PRINT'!Q40)</x:f>
      </x:c>
      <x:c r="G37" s="53" t="str">
        <x:f t="shared" si="1">IF(F37="","",F37*10%)</x:f>
      </x:c>
      <x:c r="H37" s="1"/>
      <x:c r="I37" s="1"/>
      <x:c r="J37" s="1"/>
      <x:c r="K37" s="1"/>
      <x:c r="L37" s="1"/>
      <x:c r="M37" s="1"/>
      <x:c r="N37" s="1"/>
      <x:c r="O37" s="1"/>
      <x:c r="P37" s="1"/>
    </x:row>
    <x:row r="38" ht="16.5">
      <x:c r="A38" s="171" t="n">
        <x:v>46326</x:v>
      </x:c>
      <x:c r="B38" s="98" t="str">
        <x:f>IF(SUM(C38:G38)=0,"",SUM(C38:G38))</x:f>
      </x:c>
      <x:c r="C38" s="99"/>
      <x:c r="D38" s="100"/>
      <x:c r="E38" s="100"/>
      <x:c r="F38" s="99" t="str">
        <x:f>IF('RETAIL &amp; PRINT'!Q41="","",'RETAIL &amp; PRINT'!Q41)</x:f>
      </x:c>
      <x:c r="G38" s="53" t="str">
        <x:f t="shared" si="1">IF(F38="","",F38*10%)</x:f>
      </x:c>
      <x:c r="H38" s="1"/>
      <x:c r="I38" s="1"/>
      <x:c r="J38" s="1"/>
      <x:c r="K38" s="1"/>
      <x:c r="L38" s="1"/>
      <x:c r="M38" s="1"/>
      <x:c r="N38" s="1"/>
      <x:c r="O38" s="1"/>
      <x:c r="P38" s="1"/>
    </x:row>
    <x:row r="39" ht="16.5">
      <x:c r="A39" s="51"/>
      <x:c r="B39" s="75" t="str">
        <x:f t="shared" ref="B39:G39" si="3">IF(SUM(B8:B38)=0,"",SUM(B8:B38))</x:f>
      </x:c>
      <x:c r="C39" s="75" t="str">
        <x:f t="shared" si="3">IF(SUM(C8:C38)=0,"",SUM(C8:C38))</x:f>
      </x:c>
      <x:c r="D39" s="75" t="str">
        <x:f t="shared" si="3">IF(SUM(D8:D38)=0,"",SUM(D8:D38))</x:f>
      </x:c>
      <x:c r="E39" s="75" t="str">
        <x:f t="shared" si="3">IF(SUM(E8:E38)=0,"",SUM(E8:E38))</x:f>
      </x:c>
      <x:c r="F39" s="75" t="str">
        <x:f t="shared" si="3">IF(SUM(F8:F38)=0,"",SUM(F8:F38))</x:f>
      </x:c>
      <x:c r="G39" s="75" t="str">
        <x:f t="shared" si="3">IF(SUM(G8:G38)=0,"",SUM(G8:G38))</x:f>
      </x:c>
      <x:c r="H39" s="1"/>
      <x:c r="I39" s="1"/>
      <x:c r="J39" s="1"/>
      <x:c r="K39" s="1"/>
      <x:c r="L39" s="1"/>
      <x:c r="M39" s="1"/>
      <x:c r="N39" s="1"/>
      <x:c r="O39" s="1"/>
      <x:c r="P39" s="1"/>
    </x:row>
    <x:row r="40" ht="16.5">
      <x:c r="A40" s="51"/>
      <x:c r="B40" s="66" t="str">
        <x:f>IF(B39="","",B39)</x:f>
      </x:c>
      <x:c r="C40" s="67" t="str">
        <x:f>IF(C39="","",C39)</x:f>
      </x:c>
      <x:c r="D40" s="107" t="str">
        <x:f>IF(SUM(D39:E39)=0,"",SUM(D39:E39))</x:f>
      </x:c>
      <x:c r="E40" s="108"/>
      <x:c r="F40" s="142" t="str">
        <x:f>IF(SUM(F39:G39)=0,"",SUM(F39:G39))</x:f>
      </x:c>
      <x:c r="G40" s="143"/>
      <x:c r="H40" s="1"/>
      <x:c r="I40" s="1"/>
      <x:c r="J40" s="1"/>
      <x:c r="K40" s="1"/>
      <x:c r="L40" s="1"/>
      <x:c r="M40" s="1"/>
      <x:c r="N40" s="1"/>
      <x:c r="O40" s="1"/>
      <x:c r="P40" s="1"/>
    </x:row>
    <x:row r="41" ht="16.5">
      <x:c r="B41" s="11"/>
      <x:c r="C41" s="1"/>
      <x:c r="D41" s="19"/>
      <x:c r="E41" s="19"/>
      <x:c r="F41" s="12"/>
      <x:c r="G41" s="13"/>
      <x:c r="H41" s="1"/>
      <x:c r="I41" s="1"/>
      <x:c r="J41" s="1"/>
      <x:c r="K41" s="1"/>
      <x:c r="L41" s="1"/>
      <x:c r="M41" s="1"/>
      <x:c r="N41" s="1"/>
      <x:c r="O41" s="1"/>
      <x:c r="P41" s="1"/>
    </x:row>
    <x:row r="42" ht="16.5">
      <x:c r="B42" s="11"/>
      <x:c r="C42" s="1"/>
      <x:c r="D42" s="19"/>
      <x:c r="E42" s="19"/>
      <x:c r="F42" s="12"/>
      <x:c r="G42" s="25"/>
      <x:c r="H42" s="1"/>
      <x:c r="I42" s="1"/>
      <x:c r="J42" s="1"/>
      <x:c r="K42" s="1"/>
      <x:c r="L42" s="1"/>
      <x:c r="M42" s="1"/>
      <x:c r="N42" s="1"/>
      <x:c r="O42" s="1"/>
      <x:c r="P42" s="1"/>
    </x:row>
    <x:row r="43" ht="16.5">
      <x:c r="B43" s="11"/>
      <x:c r="C43" s="27"/>
      <x:c r="D43" s="19"/>
      <x:c r="E43" s="19"/>
      <x:c r="F43" s="12"/>
      <x:c r="G43" s="13"/>
      <x:c r="H43" s="1"/>
      <x:c r="I43" s="1"/>
      <x:c r="J43" s="1"/>
      <x:c r="K43" s="1"/>
      <x:c r="L43" s="1"/>
      <x:c r="M43" s="1"/>
      <x:c r="N43" s="1"/>
      <x:c r="O43" s="1"/>
      <x:c r="P43" s="1"/>
    </x:row>
    <x:row r="44" ht="16.5">
      <x:c r="B44" s="11"/>
      <x:c r="C44" s="27"/>
      <x:c r="D44" s="19"/>
      <x:c r="E44" s="19"/>
      <x:c r="F44" s="12"/>
      <x:c r="G44" s="13"/>
      <x:c r="H44" s="1"/>
      <x:c r="I44" s="1"/>
      <x:c r="J44" s="1"/>
      <x:c r="K44" s="1"/>
      <x:c r="L44" s="1"/>
      <x:c r="M44" s="1"/>
      <x:c r="N44" s="1"/>
      <x:c r="O44" s="1"/>
      <x:c r="P44" s="1"/>
    </x:row>
    <x:row r="45" ht="16.5">
      <x:c r="B45" s="11"/>
      <x:c r="C45" s="27"/>
      <x:c r="D45" s="19"/>
      <x:c r="E45" s="19"/>
      <x:c r="F45" s="12"/>
      <x:c r="G45" s="13"/>
      <x:c r="H45" s="1"/>
      <x:c r="I45" s="1"/>
      <x:c r="J45" s="1"/>
      <x:c r="K45" s="1"/>
      <x:c r="L45" s="1"/>
      <x:c r="M45" s="1"/>
      <x:c r="N45" s="1"/>
      <x:c r="O45" s="1"/>
      <x:c r="P45" s="1"/>
    </x:row>
    <x:row r="46" ht="16.5">
      <x:c r="B46" s="11"/>
      <x:c r="C46" s="1"/>
      <x:c r="D46" s="19"/>
      <x:c r="E46" s="19"/>
      <x:c r="F46" s="12"/>
      <x:c r="G46" s="13"/>
      <x:c r="H46" s="1"/>
      <x:c r="I46" s="1"/>
      <x:c r="J46" s="1"/>
      <x:c r="K46" s="1"/>
      <x:c r="L46" s="1"/>
      <x:c r="M46" s="1"/>
      <x:c r="N46" s="1"/>
      <x:c r="O46" s="1"/>
      <x:c r="P46" s="1"/>
    </x:row>
    <x:row r="47" ht="16.5">
      <x:c r="B47" s="11"/>
      <x:c r="C47" s="1"/>
      <x:c r="D47" s="19"/>
      <x:c r="E47" s="19"/>
      <x:c r="F47" s="12"/>
      <x:c r="G47" s="13"/>
      <x:c r="H47" s="1"/>
      <x:c r="I47" s="1"/>
      <x:c r="J47" s="1"/>
      <x:c r="K47" s="1"/>
      <x:c r="L47" s="1"/>
      <x:c r="M47" s="1"/>
      <x:c r="N47" s="1"/>
      <x:c r="O47" s="1"/>
      <x:c r="P47" s="1"/>
    </x:row>
    <x:row r="48" ht="16.5">
      <x:c r="B48" s="11"/>
      <x:c r="C48" s="1"/>
      <x:c r="D48" s="19"/>
      <x:c r="E48" s="19"/>
      <x:c r="F48" s="12"/>
      <x:c r="G48" s="13"/>
      <x:c r="H48" s="1"/>
      <x:c r="I48" s="1"/>
      <x:c r="J48" s="1"/>
      <x:c r="K48" s="1"/>
      <x:c r="L48" s="1"/>
      <x:c r="M48" s="1"/>
      <x:c r="N48" s="1"/>
      <x:c r="O48" s="1"/>
      <x:c r="P48" s="1"/>
    </x:row>
    <x:row r="49" ht="16.5">
      <x:c r="B49" s="11"/>
      <x:c r="C49" s="1"/>
      <x:c r="D49" s="19"/>
      <x:c r="E49" s="19"/>
      <x:c r="F49" s="12"/>
      <x:c r="G49" s="13"/>
      <x:c r="H49" s="1"/>
      <x:c r="I49" s="1"/>
      <x:c r="J49" s="1"/>
      <x:c r="K49" s="1"/>
      <x:c r="L49" s="1"/>
      <x:c r="M49" s="1"/>
      <x:c r="N49" s="1"/>
      <x:c r="O49" s="1"/>
      <x:c r="P49" s="1"/>
    </x:row>
    <x:row r="50" ht="16.5">
      <x:c r="A50"/>
      <x:c r="B50" s="11"/>
      <x:c r="C50" s="1"/>
      <x:c r="D50" s="19"/>
      <x:c r="E50" s="19"/>
      <x:c r="F50" s="12"/>
      <x:c r="G50" s="13"/>
      <x:c r="H50" s="1"/>
      <x:c r="I50" s="1"/>
      <x:c r="J50" s="1"/>
      <x:c r="K50" s="1"/>
      <x:c r="L50" s="1"/>
      <x:c r="M50" s="1"/>
      <x:c r="N50" s="1"/>
      <x:c r="O50" s="1"/>
      <x:c r="P50" s="1"/>
    </x:row>
    <x:row r="51" ht="16.5">
      <x:c r="A51"/>
      <x:c r="B51" s="11"/>
      <x:c r="C51" s="1"/>
      <x:c r="D51" s="19"/>
      <x:c r="E51" s="19"/>
      <x:c r="F51" s="12"/>
      <x:c r="G51" s="13"/>
      <x:c r="H51" s="1"/>
      <x:c r="I51" s="1"/>
      <x:c r="J51" s="1"/>
      <x:c r="K51" s="1"/>
      <x:c r="L51" s="1"/>
      <x:c r="M51" s="1"/>
      <x:c r="N51" s="1"/>
      <x:c r="O51" s="1"/>
      <x:c r="P51" s="1"/>
    </x:row>
    <x:row r="52" ht="16.5">
      <x:c r="A52"/>
      <x:c r="B52" s="11"/>
      <x:c r="C52" s="1"/>
      <x:c r="D52" s="19"/>
      <x:c r="E52" s="19"/>
      <x:c r="F52" s="12"/>
      <x:c r="G52" s="13"/>
      <x:c r="H52" s="1"/>
      <x:c r="I52" s="1"/>
      <x:c r="J52" s="1"/>
      <x:c r="K52" s="1"/>
      <x:c r="L52" s="1"/>
      <x:c r="M52" s="1"/>
      <x:c r="N52" s="1"/>
      <x:c r="O52" s="1"/>
      <x:c r="P52" s="1"/>
    </x:row>
    <x:row r="53" ht="16.5">
      <x:c r="A53"/>
      <x:c r="B53" s="11"/>
      <x:c r="C53" s="1"/>
      <x:c r="D53" s="19"/>
      <x:c r="E53" s="19"/>
      <x:c r="F53" s="12"/>
      <x:c r="G53" s="13"/>
      <x:c r="H53" s="1"/>
      <x:c r="I53" s="1"/>
      <x:c r="J53" s="1"/>
      <x:c r="K53" s="1"/>
      <x:c r="L53" s="1"/>
      <x:c r="M53" s="1"/>
      <x:c r="N53" s="1"/>
      <x:c r="O53" s="1"/>
      <x:c r="P53" s="1"/>
    </x:row>
    <x:row r="54" ht="16.5">
      <x:c r="A54"/>
      <x:c r="B54" s="11"/>
      <x:c r="C54" s="1"/>
      <x:c r="D54" s="19"/>
      <x:c r="E54" s="19"/>
      <x:c r="F54" s="12"/>
      <x:c r="G54" s="13"/>
      <x:c r="H54" s="1"/>
      <x:c r="I54" s="1"/>
      <x:c r="J54" s="1"/>
      <x:c r="K54" s="1"/>
      <x:c r="L54" s="1"/>
      <x:c r="M54" s="1"/>
      <x:c r="N54" s="1"/>
      <x:c r="O54" s="1"/>
      <x:c r="P54" s="1"/>
    </x:row>
    <x:row r="55" ht="16.5">
      <x:c r="A55"/>
      <x:c r="B55" s="11"/>
      <x:c r="C55" s="1"/>
      <x:c r="D55" s="19"/>
      <x:c r="E55" s="19"/>
      <x:c r="F55" s="12"/>
      <x:c r="G55" s="13"/>
      <x:c r="H55" s="1"/>
      <x:c r="I55" s="1"/>
      <x:c r="J55" s="1"/>
      <x:c r="K55" s="1"/>
      <x:c r="L55" s="1"/>
      <x:c r="M55" s="1"/>
      <x:c r="N55" s="1"/>
      <x:c r="O55" s="1"/>
      <x:c r="P55" s="1"/>
    </x:row>
    <x:row r="56" ht="16.5">
      <x:c r="A56"/>
      <x:c r="B56" s="11"/>
      <x:c r="C56" s="1"/>
      <x:c r="D56" s="19"/>
      <x:c r="E56" s="19"/>
      <x:c r="F56" s="12"/>
      <x:c r="G56" s="13"/>
      <x:c r="H56" s="1"/>
      <x:c r="I56" s="1"/>
      <x:c r="J56" s="1"/>
      <x:c r="K56" s="1"/>
      <x:c r="L56" s="1"/>
      <x:c r="M56" s="1"/>
      <x:c r="N56" s="1"/>
      <x:c r="O56" s="1"/>
      <x:c r="P56" s="1"/>
    </x:row>
    <x:row r="57" ht="16.5">
      <x:c r="A57"/>
      <x:c r="B57" s="11"/>
      <x:c r="C57" s="1"/>
      <x:c r="D57" s="19"/>
      <x:c r="E57" s="19"/>
      <x:c r="F57" s="12"/>
      <x:c r="G57" s="13"/>
      <x:c r="H57" s="1"/>
      <x:c r="I57" s="1"/>
      <x:c r="J57" s="1"/>
      <x:c r="K57" s="1"/>
      <x:c r="L57" s="1"/>
      <x:c r="M57" s="1"/>
      <x:c r="N57" s="1"/>
      <x:c r="O57" s="1"/>
      <x:c r="P57" s="1"/>
    </x:row>
    <x:row r="58" ht="16.5">
      <x:c r="A58"/>
      <x:c r="B58" s="11"/>
      <x:c r="C58" s="1"/>
      <x:c r="D58" s="19"/>
      <x:c r="E58" s="19"/>
      <x:c r="F58" s="12"/>
      <x:c r="G58" s="13"/>
      <x:c r="H58" s="1"/>
      <x:c r="I58" s="1"/>
      <x:c r="J58" s="1"/>
      <x:c r="K58" s="1"/>
      <x:c r="L58" s="1"/>
      <x:c r="M58" s="1"/>
      <x:c r="N58" s="1"/>
      <x:c r="O58" s="1"/>
      <x:c r="P58" s="1"/>
    </x:row>
    <x:row r="59" ht="16.5">
      <x:c r="A59"/>
      <x:c r="B59" s="11"/>
      <x:c r="C59" s="1"/>
      <x:c r="D59" s="19"/>
      <x:c r="E59" s="19"/>
      <x:c r="F59" s="12"/>
      <x:c r="G59" s="13"/>
      <x:c r="H59" s="1"/>
      <x:c r="I59" s="1"/>
      <x:c r="J59" s="1"/>
      <x:c r="K59" s="1"/>
      <x:c r="L59" s="1"/>
      <x:c r="M59" s="1"/>
      <x:c r="N59" s="1"/>
      <x:c r="O59" s="1"/>
      <x:c r="P59" s="1"/>
    </x:row>
    <x:row r="60" ht="16.5">
      <x:c r="A60"/>
      <x:c r="B60" s="11"/>
      <x:c r="C60" s="1"/>
      <x:c r="D60" s="19"/>
      <x:c r="E60" s="19"/>
      <x:c r="F60" s="12"/>
      <x:c r="G60" s="13"/>
      <x:c r="H60" s="1"/>
      <x:c r="I60" s="1"/>
      <x:c r="J60" s="1"/>
      <x:c r="K60" s="1"/>
      <x:c r="L60" s="1"/>
      <x:c r="M60" s="1"/>
      <x:c r="N60" s="1"/>
      <x:c r="O60" s="1"/>
      <x:c r="P60" s="1"/>
    </x:row>
    <x:row r="61" ht="16.5">
      <x:c r="A61"/>
      <x:c r="B61" s="11"/>
      <x:c r="C61" s="1"/>
      <x:c r="D61" s="19"/>
      <x:c r="E61" s="19"/>
      <x:c r="F61" s="12"/>
      <x:c r="G61" s="13"/>
      <x:c r="H61" s="1"/>
      <x:c r="I61" s="1"/>
      <x:c r="J61" s="1"/>
      <x:c r="K61" s="1"/>
      <x:c r="L61" s="1"/>
      <x:c r="M61" s="1"/>
      <x:c r="N61" s="1"/>
      <x:c r="O61" s="1"/>
      <x:c r="P61" s="1"/>
    </x:row>
    <x:row r="62" ht="16.5">
      <x:c r="A62"/>
      <x:c r="B62" s="11"/>
      <x:c r="C62" s="1"/>
      <x:c r="D62" s="19"/>
      <x:c r="E62" s="19"/>
      <x:c r="F62" s="12"/>
      <x:c r="G62" s="13"/>
      <x:c r="H62" s="1"/>
      <x:c r="I62" s="1"/>
      <x:c r="J62" s="1"/>
      <x:c r="K62" s="1"/>
      <x:c r="L62" s="1"/>
      <x:c r="M62" s="1"/>
      <x:c r="N62" s="1"/>
      <x:c r="O62" s="1"/>
      <x:c r="P62" s="1"/>
    </x:row>
    <x:row r="63" ht="16.5">
      <x:c r="A63"/>
      <x:c r="B63" s="11"/>
      <x:c r="C63" s="1"/>
      <x:c r="D63" s="19"/>
      <x:c r="E63" s="19"/>
      <x:c r="F63" s="12"/>
      <x:c r="G63" s="13"/>
      <x:c r="H63" s="1"/>
      <x:c r="I63" s="1"/>
      <x:c r="J63" s="1"/>
      <x:c r="K63" s="1"/>
      <x:c r="L63" s="1"/>
      <x:c r="M63" s="1"/>
      <x:c r="N63" s="1"/>
      <x:c r="O63" s="1"/>
      <x:c r="P63" s="1"/>
    </x:row>
    <x:row r="64" ht="16.5">
      <x:c r="A64"/>
      <x:c r="B64" s="11"/>
      <x:c r="C64" s="1"/>
      <x:c r="D64" s="19"/>
      <x:c r="E64" s="19"/>
      <x:c r="F64" s="12"/>
      <x:c r="G64" s="13"/>
      <x:c r="H64" s="1"/>
      <x:c r="I64" s="1"/>
      <x:c r="J64" s="1"/>
      <x:c r="K64" s="1"/>
      <x:c r="L64" s="1"/>
      <x:c r="M64" s="1"/>
      <x:c r="N64" s="1"/>
      <x:c r="O64" s="1"/>
      <x:c r="P64" s="1"/>
    </x:row>
    <x:row r="65" ht="16.5">
      <x:c r="A65"/>
      <x:c r="B65" s="11"/>
      <x:c r="C65" s="1"/>
      <x:c r="D65" s="19"/>
      <x:c r="E65" s="19"/>
      <x:c r="F65" s="12"/>
      <x:c r="G65" s="13"/>
      <x:c r="H65" s="1"/>
      <x:c r="I65" s="1"/>
      <x:c r="J65" s="1"/>
      <x:c r="K65" s="1"/>
      <x:c r="L65" s="1"/>
      <x:c r="M65" s="1"/>
      <x:c r="N65" s="1"/>
      <x:c r="O65" s="1"/>
      <x:c r="P65" s="1"/>
    </x:row>
    <x:row r="66" ht="16.5">
      <x:c r="A66"/>
      <x:c r="B66" s="11"/>
      <x:c r="C66" s="1"/>
      <x:c r="D66" s="19"/>
      <x:c r="E66" s="19"/>
      <x:c r="F66" s="12"/>
      <x:c r="G66" s="13"/>
      <x:c r="H66" s="1"/>
      <x:c r="I66" s="1"/>
      <x:c r="J66" s="1"/>
      <x:c r="K66" s="1"/>
      <x:c r="L66" s="1"/>
      <x:c r="M66" s="1"/>
      <x:c r="N66" s="1"/>
      <x:c r="O66" s="1"/>
      <x:c r="P66" s="1"/>
    </x:row>
    <x:row r="67" ht="16.5">
      <x:c r="A67"/>
      <x:c r="B67" s="11"/>
      <x:c r="C67" s="1"/>
      <x:c r="D67" s="19"/>
      <x:c r="E67" s="19"/>
      <x:c r="F67" s="12"/>
      <x:c r="G67" s="13"/>
      <x:c r="H67" s="1"/>
      <x:c r="I67" s="1"/>
      <x:c r="J67" s="1"/>
      <x:c r="K67" s="1"/>
      <x:c r="L67" s="1"/>
      <x:c r="M67" s="1"/>
      <x:c r="N67" s="1"/>
      <x:c r="O67" s="1"/>
      <x:c r="P67" s="1"/>
    </x:row>
    <x:row r="68" ht="16.5">
      <x:c r="A68"/>
      <x:c r="B68" s="11"/>
      <x:c r="C68" s="1"/>
      <x:c r="D68" s="19"/>
      <x:c r="E68" s="19"/>
      <x:c r="F68" s="12"/>
      <x:c r="G68" s="13"/>
      <x:c r="H68" s="1"/>
      <x:c r="I68" s="1"/>
      <x:c r="J68" s="1"/>
      <x:c r="K68" s="1"/>
      <x:c r="L68" s="1"/>
      <x:c r="M68" s="1"/>
      <x:c r="N68" s="1"/>
      <x:c r="O68" s="1"/>
      <x:c r="P68" s="1"/>
    </x:row>
    <x:row r="69" ht="16.5">
      <x:c r="A69"/>
      <x:c r="B69" s="11"/>
      <x:c r="C69" s="1"/>
      <x:c r="D69" s="19"/>
      <x:c r="E69" s="19"/>
      <x:c r="F69" s="12"/>
      <x:c r="G69" s="13"/>
      <x:c r="H69" s="1"/>
      <x:c r="I69" s="1"/>
      <x:c r="J69" s="1"/>
      <x:c r="K69" s="1"/>
      <x:c r="L69" s="1"/>
      <x:c r="M69" s="1"/>
      <x:c r="N69" s="1"/>
      <x:c r="O69" s="1"/>
      <x:c r="P69" s="1"/>
    </x:row>
    <x:row r="70" ht="16.5">
      <x:c r="A70"/>
      <x:c r="B70" s="11"/>
      <x:c r="C70" s="1"/>
      <x:c r="D70" s="19"/>
      <x:c r="E70" s="19"/>
      <x:c r="F70" s="12"/>
      <x:c r="G70" s="13"/>
      <x:c r="H70" s="1"/>
      <x:c r="I70" s="1"/>
      <x:c r="J70" s="1"/>
      <x:c r="K70" s="1"/>
      <x:c r="L70" s="1"/>
      <x:c r="M70" s="1"/>
      <x:c r="N70" s="1"/>
      <x:c r="O70" s="1"/>
      <x:c r="P70" s="1"/>
    </x:row>
    <x:row r="71" ht="16.5">
      <x:c r="A71"/>
      <x:c r="B71" s="11"/>
      <x:c r="C71" s="1"/>
      <x:c r="D71" s="19"/>
      <x:c r="E71" s="19"/>
      <x:c r="F71" s="12"/>
      <x:c r="G71" s="13"/>
      <x:c r="H71" s="1"/>
      <x:c r="I71" s="1"/>
      <x:c r="J71" s="1"/>
      <x:c r="K71" s="1"/>
      <x:c r="L71" s="1"/>
      <x:c r="M71" s="1"/>
      <x:c r="N71" s="1"/>
      <x:c r="O71" s="1"/>
      <x:c r="P71" s="1"/>
    </x:row>
    <x:row r="72" ht="16.5">
      <x:c r="A72"/>
      <x:c r="B72" s="11"/>
      <x:c r="C72" s="1"/>
      <x:c r="D72" s="19"/>
      <x:c r="E72" s="19"/>
      <x:c r="F72" s="12"/>
      <x:c r="G72" s="13"/>
      <x:c r="H72" s="1"/>
      <x:c r="I72" s="1"/>
      <x:c r="J72" s="1"/>
      <x:c r="K72" s="1"/>
      <x:c r="L72" s="1"/>
      <x:c r="M72" s="1"/>
      <x:c r="N72" s="1"/>
      <x:c r="O72" s="1"/>
      <x:c r="P72" s="1"/>
    </x:row>
    <x:row r="73" ht="16.5">
      <x:c r="A73"/>
      <x:c r="B73" s="11"/>
      <x:c r="C73" s="1"/>
      <x:c r="D73" s="19"/>
      <x:c r="E73" s="19"/>
      <x:c r="F73" s="12"/>
      <x:c r="G73" s="13"/>
      <x:c r="H73" s="1"/>
      <x:c r="I73" s="1"/>
      <x:c r="J73" s="1"/>
      <x:c r="K73" s="1"/>
      <x:c r="L73" s="1"/>
      <x:c r="M73" s="1"/>
      <x:c r="N73" s="1"/>
      <x:c r="O73" s="1"/>
      <x:c r="P73" s="1"/>
    </x:row>
    <x:row r="74" ht="16.5">
      <x:c r="A74"/>
      <x:c r="B74" s="11"/>
      <x:c r="C74" s="1"/>
      <x:c r="D74" s="19"/>
      <x:c r="E74" s="19"/>
      <x:c r="F74" s="12"/>
      <x:c r="G74" s="13"/>
      <x:c r="H74" s="1"/>
      <x:c r="I74" s="1"/>
      <x:c r="J74" s="1"/>
      <x:c r="K74" s="1"/>
      <x:c r="L74" s="1"/>
      <x:c r="M74" s="1"/>
      <x:c r="N74" s="1"/>
      <x:c r="O74" s="1"/>
      <x:c r="P74" s="1"/>
    </x:row>
    <x:row r="75" ht="16.5">
      <x:c r="A75"/>
      <x:c r="B75" s="11"/>
      <x:c r="C75" s="1"/>
      <x:c r="D75" s="19"/>
      <x:c r="E75" s="19"/>
      <x:c r="F75" s="12"/>
      <x:c r="G75" s="13"/>
      <x:c r="H75" s="1"/>
      <x:c r="I75" s="1"/>
      <x:c r="J75" s="1"/>
      <x:c r="K75" s="1"/>
      <x:c r="L75" s="1"/>
      <x:c r="M75" s="1"/>
      <x:c r="N75" s="1"/>
      <x:c r="O75" s="1"/>
      <x:c r="P75" s="1"/>
    </x:row>
    <x:row r="76" ht="16.5">
      <x:c r="A76"/>
      <x:c r="B76" s="11"/>
      <x:c r="C76" s="1"/>
      <x:c r="D76" s="19"/>
      <x:c r="E76" s="19"/>
      <x:c r="F76" s="12"/>
      <x:c r="G76" s="13"/>
      <x:c r="H76" s="1"/>
      <x:c r="I76" s="1"/>
      <x:c r="J76" s="1"/>
      <x:c r="K76" s="1"/>
      <x:c r="L76" s="1"/>
      <x:c r="M76" s="1"/>
      <x:c r="N76" s="1"/>
      <x:c r="O76" s="1"/>
      <x:c r="P76" s="1"/>
    </x:row>
    <x:row r="77" ht="16.5">
      <x:c r="A77"/>
      <x:c r="B77" s="11"/>
      <x:c r="C77" s="1"/>
      <x:c r="D77" s="19"/>
      <x:c r="E77" s="19"/>
      <x:c r="F77" s="12"/>
      <x:c r="G77" s="13"/>
      <x:c r="H77" s="1"/>
      <x:c r="I77" s="1"/>
      <x:c r="J77" s="1"/>
      <x:c r="K77" s="1"/>
      <x:c r="L77" s="1"/>
      <x:c r="M77" s="1"/>
      <x:c r="N77" s="1"/>
      <x:c r="O77" s="1"/>
      <x:c r="P77" s="1"/>
    </x:row>
    <x:row r="78" ht="16.5">
      <x:c r="A78"/>
      <x:c r="B78" s="11"/>
      <x:c r="C78" s="1"/>
      <x:c r="D78" s="19"/>
      <x:c r="E78" s="19"/>
      <x:c r="F78" s="12"/>
      <x:c r="G78" s="13"/>
      <x:c r="H78" s="1"/>
      <x:c r="I78" s="1"/>
      <x:c r="J78" s="1"/>
      <x:c r="K78" s="1"/>
      <x:c r="L78" s="1"/>
      <x:c r="M78" s="1"/>
      <x:c r="N78" s="1"/>
      <x:c r="O78" s="1"/>
      <x:c r="P78" s="1"/>
    </x:row>
  </x:sheetData>
  <x:mergeCells>
    <x:mergeCell ref="D5:E5"/>
    <x:mergeCell ref="F5:G5"/>
    <x:mergeCell ref="I5:K5"/>
    <x:mergeCell ref="F40:G40"/>
  </x:mergeCells>
  <x:pageMargins left="0.7" right="0.7" top="0.75" bottom="0.75" header="0.3" footer="0.3"/>
  <x:drawing xmlns:r="http://schemas.openxmlformats.org/officeDocument/2006/relationships" r:id="Rfd61a5721ae84bbe"/>
</x:worksheet>
</file>

<file path=xl/worksheets/sheet25.xml><?xml version="1.0" encoding="utf-8"?>
<x:worksheet xmlns:x="http://schemas.openxmlformats.org/spreadsheetml/2006/main">
  <x:sheetPr>
    <x:tabColor rgb="FFCC99FF"/>
  </x:sheetPr>
  <x:sheetFormatPr defaultRowHeight="15"/>
  <x:cols>
    <x:col min="1" max="1" width="13.42578125" style="14" customWidth="1"/>
    <x:col min="2" max="2" width="16.42578125" style="6" customWidth="1"/>
    <x:col min="3" max="3" width="19" customWidth="1"/>
    <x:col min="4" max="5" width="14" style="20" customWidth="1"/>
    <x:col min="6" max="6" width="15.140625" style="20" customWidth="1"/>
    <x:col min="7" max="7" width="29.5703125" customWidth="1"/>
    <x:col min="8" max="8" width="14.28515625" customWidth="1"/>
    <x:col min="9" max="9" width="13.140625" customWidth="1"/>
  </x:cols>
  <x:sheetData>
    <x:row r="1" ht="46.5" customHeight="1"/>
    <x:row r="2" ht="18">
      <x:c r="A2" s="16" t="str">
        <x:v>DAILY SALES  - OCTOBER 2026 (THIRD PARD)</x:v>
      </x:c>
      <x:c r="B2" s="16"/>
      <x:c r="C2" s="16"/>
      <x:c r="D2" s="18"/>
      <x:c r="E2" s="18"/>
      <x:c r="G2" s="20"/>
      <x:c r="H2" s="16"/>
      <x:c r="I2" s="16"/>
      <x:c r="J2" s="16"/>
      <x:c r="K2" s="16"/>
      <x:c r="L2" s="16"/>
      <x:c r="M2" s="16"/>
      <x:c r="N2" s="16"/>
      <x:c r="O2" s="16"/>
      <x:c r="P2" s="16"/>
    </x:row>
    <x:row r="3" ht="18">
      <x:c r="B3" s="24"/>
      <x:c r="C3" s="24"/>
      <x:c r="D3" s="18"/>
      <x:c r="E3" s="18"/>
      <x:c r="F3" s="18"/>
      <x:c r="G3" s="24"/>
      <x:c r="H3" s="24"/>
      <x:c r="I3" s="24"/>
      <x:c r="J3" s="24"/>
      <x:c r="K3" s="24"/>
      <x:c r="L3" s="24"/>
      <x:c r="M3" s="24"/>
      <x:c r="N3" s="24"/>
      <x:c r="O3" s="24"/>
      <x:c r="P3" s="24"/>
    </x:row>
    <x:row r="4" ht="16.5">
      <x:c r="B4" s="11"/>
      <x:c r="C4" s="1"/>
      <x:c r="D4" s="19"/>
      <x:c r="E4" s="19"/>
      <x:c r="F4" s="19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30">
      <x:c r="A5" s="21" t="s">
        <x:v>21</x:v>
      </x:c>
      <x:c r="B5" s="22" t="s">
        <x:v>22</x:v>
      </x:c>
      <x:c r="C5" s="106" t="s">
        <x:v>31</x:v>
      </x:c>
      <x:c r="D5" s="106" t="s">
        <x:v>32</x:v>
      </x:c>
      <x:c r="E5" s="105" t="s">
        <x:v>38</x:v>
      </x:c>
      <x:c r="F5" s="106" t="s">
        <x:v>33</x:v>
      </x:c>
      <x:c r="G5" s="2"/>
      <x:c r="H5" s="135" t="s">
        <x:v>26</x:v>
      </x:c>
      <x:c r="I5" s="135"/>
      <x:c r="J5" s="135"/>
      <x:c r="O5" s="1"/>
      <x:c r="P5" s="1"/>
    </x:row>
    <x:row r="6" ht="16.5">
      <x:c r="A6" s="21"/>
      <x:c r="B6" s="22"/>
      <x:c r="C6" s="23"/>
      <x:c r="D6" s="69"/>
      <x:c r="E6" s="69"/>
      <x:c r="F6" s="69" t="s">
        <x:v>39</x:v>
      </x:c>
      <x:c r="G6" s="2"/>
      <x:c r="H6" s="17"/>
      <x:c r="I6" s="17"/>
      <x:c r="J6" s="17"/>
      <x:c r="O6" s="1"/>
      <x:c r="P6" s="1"/>
    </x:row>
    <x:row r="7" ht="16.5">
      <x:c r="A7" s="15"/>
      <x:c r="B7" s="7"/>
      <x:c r="C7" s="5"/>
      <x:c r="D7" s="70"/>
      <x:c r="E7" s="70"/>
      <x:c r="F7" s="70" t="s">
        <x:v>40</x:v>
      </x:c>
      <x:c r="G7" s="2"/>
      <x:c r="H7" s="3" t="str">
        <x:f>C5</x:f>
        <x:v>Kitwe</x:v>
      </x:c>
      <x:c r="I7" s="10" t="str">
        <x:f>IF(C39="","",C39)</x:f>
      </x:c>
      <x:c r="J7" s="4" t="str">
        <x:f>IFERROR($C$39/$B$39,"")</x:f>
      </x:c>
      <x:c r="O7" s="1"/>
      <x:c r="P7" s="1"/>
    </x:row>
    <x:row r="8" ht="16.5">
      <x:c r="A8" s="171" t="n">
        <x:v>46296</x:v>
      </x:c>
      <x:c r="B8" s="52" t="str">
        <x:f>IF(SUM(C8:F8)=0,"",SUM(C8:F8))</x:f>
      </x:c>
      <x:c r="C8" s="53"/>
      <x:c r="D8" s="54"/>
      <x:c r="E8" s="54"/>
      <x:c r="F8" s="54"/>
      <x:c r="G8" s="1"/>
      <x:c r="H8" s="3" t="str">
        <x:f>D5</x:f>
        <x:v>Eldo</x:v>
      </x:c>
      <x:c r="I8" s="10" t="str">
        <x:f>IF(D39="","",D39)</x:f>
      </x:c>
      <x:c r="J8" s="4" t="str">
        <x:f>IFERROR($D$39/$B$39,"")</x:f>
      </x:c>
      <x:c r="O8" s="1"/>
      <x:c r="P8" s="1"/>
    </x:row>
    <x:row r="9" ht="16.5">
      <x:c r="A9" s="171" t="n">
        <x:v>46297</x:v>
      </x:c>
      <x:c r="B9" s="52" t="str">
        <x:f t="shared" ref="B9:B38" si="0">IF(SUM(C9:F9)=0,"",SUM(C9:F9))</x:f>
      </x:c>
      <x:c r="C9" s="53"/>
      <x:c r="D9" s="54"/>
      <x:c r="E9" s="54"/>
      <x:c r="F9" s="54"/>
      <x:c r="G9" s="1"/>
      <x:c r="H9" s="3" t="str">
        <x:f>F5</x:f>
        <x:v>Clubview</x:v>
      </x:c>
      <x:c r="I9" s="10" t="str">
        <x:f>IF(F39="","",F39)</x:f>
      </x:c>
      <x:c r="J9" s="4" t="str">
        <x:f>IFERROR($F$39/$B$39,"")</x:f>
      </x:c>
      <x:c r="O9" s="1"/>
      <x:c r="P9" s="1"/>
    </x:row>
    <x:row r="10" ht="16.5">
      <x:c r="A10" s="171" t="n">
        <x:v>46298</x:v>
      </x:c>
      <x:c r="B10" s="52" t="str">
        <x:f t="shared" si="0">IF(SUM(C10:F10)=0,"",SUM(C10:F10))</x:f>
      </x:c>
      <x:c r="C10" s="53"/>
      <x:c r="D10" s="54"/>
      <x:c r="E10" s="54"/>
      <x:c r="F10" s="54"/>
      <x:c r="G10" s="1"/>
      <x:c r="H10" s="39"/>
      <x:c r="I10" s="40" t="str">
        <x:f>IF(SUM(I7:I9)=0,"",SUM(I7:I9))</x:f>
      </x:c>
      <x:c r="J10" s="4" t="str">
        <x:f>IF(SUM(J7:J9)=0,"",SUM(J7:J9))</x:f>
      </x:c>
      <x:c r="K10" s="1"/>
      <x:c r="L10" s="1"/>
      <x:c r="M10" s="1"/>
      <x:c r="N10" s="1"/>
      <x:c r="O10" s="1"/>
      <x:c r="P10" s="1"/>
    </x:row>
    <x:row r="11" ht="16.5">
      <x:c r="A11" s="171" t="n">
        <x:v>46299</x:v>
      </x:c>
      <x:c r="B11" s="52" t="str">
        <x:f t="shared" si="0">IF(SUM(C11:F11)=0,"",SUM(C11:F11))</x:f>
      </x:c>
      <x:c r="C11" s="53"/>
      <x:c r="D11" s="54"/>
      <x:c r="E11" s="54"/>
      <x:c r="F11" s="54"/>
      <x:c r="G11" s="1"/>
      <x:c r="H11" s="39"/>
      <x:c r="I11" s="40"/>
      <x:c r="J11" s="41"/>
      <x:c r="K11" s="1"/>
      <x:c r="L11" s="1"/>
      <x:c r="M11" s="1"/>
      <x:c r="N11" s="1"/>
      <x:c r="O11" s="1"/>
      <x:c r="P11" s="1"/>
    </x:row>
    <x:row r="12" ht="16.5">
      <x:c r="A12" s="171" t="n">
        <x:v>46300</x:v>
      </x:c>
      <x:c r="B12" s="52" t="str">
        <x:f t="shared" si="0">IF(SUM(C12:F12)=0,"",SUM(C12:F12))</x:f>
      </x:c>
      <x:c r="C12" s="53"/>
      <x:c r="D12" s="54"/>
      <x:c r="E12" s="54"/>
      <x:c r="F12" s="54"/>
      <x:c r="G12" s="1"/>
      <x:c r="H12" s="1"/>
      <x:c r="I12" s="38"/>
      <x:c r="J12" s="30"/>
      <x:c r="K12" s="1"/>
      <x:c r="L12" s="1"/>
      <x:c r="M12" s="1"/>
      <x:c r="N12" s="1"/>
      <x:c r="O12" s="1"/>
      <x:c r="P12" s="1"/>
    </x:row>
    <x:row r="13" ht="16.5">
      <x:c r="A13" s="171" t="n">
        <x:v>46301</x:v>
      </x:c>
      <x:c r="B13" s="52" t="str">
        <x:f t="shared" si="0">IF(SUM(C13:F13)=0,"",SUM(C13:F13))</x:f>
      </x:c>
      <x:c r="C13" s="53"/>
      <x:c r="D13" s="54"/>
      <x:c r="E13" s="54"/>
      <x:c r="F13" s="54"/>
      <x:c r="G13" s="1"/>
      <x:c r="H13" s="1"/>
      <x:c r="I13" s="1"/>
      <x:c r="J13" s="1"/>
      <x:c r="K13" s="1"/>
      <x:c r="L13" s="1"/>
      <x:c r="M13" s="1"/>
      <x:c r="N13" s="1"/>
      <x:c r="O13" s="1"/>
      <x:c r="P13" s="1"/>
    </x:row>
    <x:row r="14" ht="16.5">
      <x:c r="A14" s="171" t="n">
        <x:v>46302</x:v>
      </x:c>
      <x:c r="B14" s="52" t="str">
        <x:f t="shared" si="0">IF(SUM(C14:F14)=0,"",SUM(C14:F14))</x:f>
      </x:c>
      <x:c r="C14" s="53"/>
      <x:c r="D14" s="54"/>
      <x:c r="E14" s="54"/>
      <x:c r="F14" s="54"/>
      <x:c r="G14" s="1"/>
      <x:c r="H14" s="1"/>
      <x:c r="I14" s="27"/>
      <x:c r="J14" s="28"/>
      <x:c r="K14" s="1"/>
      <x:c r="L14" s="1"/>
      <x:c r="M14" s="1"/>
      <x:c r="N14" s="1"/>
      <x:c r="O14" s="1"/>
      <x:c r="P14" s="1"/>
    </x:row>
    <x:row r="15" ht="16.5">
      <x:c r="A15" s="171" t="n">
        <x:v>46303</x:v>
      </x:c>
      <x:c r="B15" s="52" t="str">
        <x:f t="shared" si="0">IF(SUM(C15:F15)=0,"",SUM(C15:F15))</x:f>
      </x:c>
      <x:c r="C15" s="53"/>
      <x:c r="D15" s="54"/>
      <x:c r="E15" s="54"/>
      <x:c r="F15" s="54"/>
      <x:c r="G15" s="1"/>
      <x:c r="H15" s="1"/>
      <x:c r="I15" s="1"/>
      <x:c r="J15" s="1"/>
      <x:c r="K15" s="1"/>
      <x:c r="L15" s="1"/>
      <x:c r="M15" s="1"/>
      <x:c r="N15" s="1"/>
      <x:c r="O15" s="1"/>
      <x:c r="P15" s="1"/>
    </x:row>
    <x:row r="16" ht="16.5">
      <x:c r="A16" s="171" t="n">
        <x:v>46304</x:v>
      </x:c>
      <x:c r="B16" s="52" t="str">
        <x:f t="shared" si="0">IF(SUM(C16:F16)=0,"",SUM(C16:F16))</x:f>
      </x:c>
      <x:c r="C16" s="53"/>
      <x:c r="D16" s="54"/>
      <x:c r="E16" s="54"/>
      <x:c r="F16" s="54"/>
      <x:c r="G16" s="1"/>
      <x:c r="H16" s="1"/>
      <x:c r="I16" s="1"/>
      <x:c r="J16" s="1"/>
      <x:c r="K16" s="1"/>
      <x:c r="L16" s="1"/>
      <x:c r="M16" s="1"/>
      <x:c r="N16" s="1"/>
      <x:c r="O16" s="1"/>
      <x:c r="P16" s="1"/>
    </x:row>
    <x:row r="17" ht="16.5">
      <x:c r="A17" s="171" t="n">
        <x:v>46305</x:v>
      </x:c>
      <x:c r="B17" s="52" t="str">
        <x:f t="shared" si="0">IF(SUM(C17:F17)=0,"",SUM(C17:F17))</x:f>
      </x:c>
      <x:c r="C17" s="53"/>
      <x:c r="D17" s="54"/>
      <x:c r="E17" s="54"/>
      <x:c r="F17" s="54"/>
      <x:c r="G17" s="1"/>
      <x:c r="H17" s="1"/>
      <x:c r="I17" s="1"/>
      <x:c r="J17" s="1"/>
      <x:c r="K17" s="1"/>
      <x:c r="L17" s="1"/>
      <x:c r="M17" s="1"/>
      <x:c r="N17" s="1"/>
      <x:c r="O17" s="1"/>
      <x:c r="P17" s="1"/>
    </x:row>
    <x:row r="18" ht="16.5">
      <x:c r="A18" s="171" t="n">
        <x:v>46306</x:v>
      </x:c>
      <x:c r="B18" s="52" t="str">
        <x:f t="shared" si="0">IF(SUM(C18:F18)=0,"",SUM(C18:F18))</x:f>
      </x:c>
      <x:c r="C18" s="53"/>
      <x:c r="D18" s="54"/>
      <x:c r="E18" s="54"/>
      <x:c r="F18" s="54"/>
      <x:c r="G18" s="1"/>
      <x:c r="H18" s="1"/>
      <x:c r="I18" s="1"/>
      <x:c r="J18" s="1"/>
      <x:c r="K18" s="1"/>
      <x:c r="L18" s="1"/>
      <x:c r="M18" s="1"/>
      <x:c r="N18" s="1"/>
      <x:c r="O18" s="1"/>
      <x:c r="P18" s="1"/>
    </x:row>
    <x:row r="19" ht="16.5">
      <x:c r="A19" s="171" t="n">
        <x:v>46307</x:v>
      </x:c>
      <x:c r="B19" s="52" t="str">
        <x:f t="shared" si="0">IF(SUM(C19:F19)=0,"",SUM(C19:F19))</x:f>
      </x:c>
      <x:c r="C19" s="53"/>
      <x:c r="D19" s="54"/>
      <x:c r="E19" s="54"/>
      <x:c r="F19" s="54"/>
      <x:c r="G19" s="1"/>
      <x:c r="H19" s="1"/>
      <x:c r="I19" s="1"/>
      <x:c r="J19" s="1"/>
      <x:c r="K19" s="1"/>
      <x:c r="L19" s="1"/>
      <x:c r="M19" s="1"/>
      <x:c r="N19" s="1"/>
      <x:c r="O19" s="1"/>
      <x:c r="P19" s="1"/>
    </x:row>
    <x:row r="20" ht="16.5">
      <x:c r="A20" s="171" t="n">
        <x:v>46308</x:v>
      </x:c>
      <x:c r="B20" s="52" t="str">
        <x:f t="shared" si="0">IF(SUM(C20:F20)=0,"",SUM(C20:F20))</x:f>
      </x:c>
      <x:c r="C20" s="53"/>
      <x:c r="D20" s="54"/>
      <x:c r="E20" s="54"/>
      <x:c r="F20" s="54"/>
      <x:c r="G20" s="1"/>
      <x:c r="H20" s="1"/>
      <x:c r="I20" s="1"/>
      <x:c r="J20" s="1"/>
      <x:c r="K20" s="1"/>
      <x:c r="L20" s="1"/>
      <x:c r="M20" s="1"/>
      <x:c r="N20" s="1"/>
      <x:c r="O20" s="1"/>
      <x:c r="P20" s="1"/>
    </x:row>
    <x:row r="21" ht="16.5">
      <x:c r="A21" s="171" t="n">
        <x:v>46309</x:v>
      </x:c>
      <x:c r="B21" s="52" t="str">
        <x:f t="shared" si="0">IF(SUM(C21:F21)=0,"",SUM(C21:F21))</x:f>
      </x:c>
      <x:c r="C21" s="53"/>
      <x:c r="D21" s="54"/>
      <x:c r="E21" s="54"/>
      <x:c r="F21" s="54"/>
      <x:c r="G21" s="1"/>
      <x:c r="H21" s="1"/>
      <x:c r="I21" s="1"/>
      <x:c r="J21" s="1"/>
      <x:c r="K21" s="1"/>
      <x:c r="L21" s="1"/>
      <x:c r="M21" s="1"/>
      <x:c r="N21" s="1"/>
      <x:c r="O21" s="1"/>
      <x:c r="P21" s="1"/>
    </x:row>
    <x:row r="22" ht="16.5">
      <x:c r="A22" s="171" t="n">
        <x:v>46310</x:v>
      </x:c>
      <x:c r="B22" s="52" t="str">
        <x:f t="shared" si="0">IF(SUM(C22:F22)=0,"",SUM(C22:F22))</x:f>
      </x:c>
      <x:c r="C22" s="53"/>
      <x:c r="D22" s="54"/>
      <x:c r="E22" s="54"/>
      <x:c r="F22" s="54"/>
      <x:c r="G22" s="1"/>
      <x:c r="H22" s="1"/>
      <x:c r="I22" s="1"/>
      <x:c r="J22" s="1"/>
      <x:c r="K22" s="1"/>
      <x:c r="L22" s="1"/>
      <x:c r="M22" s="1"/>
      <x:c r="N22" s="1"/>
      <x:c r="O22" s="1"/>
      <x:c r="P22" s="1"/>
    </x:row>
    <x:row r="23" ht="16.5">
      <x:c r="A23" s="171" t="n">
        <x:v>46311</x:v>
      </x:c>
      <x:c r="B23" s="52" t="str">
        <x:f t="shared" si="0">IF(SUM(C23:F23)=0,"",SUM(C23:F23))</x:f>
      </x:c>
      <x:c r="C23" s="53"/>
      <x:c r="D23" s="54"/>
      <x:c r="E23" s="54"/>
      <x:c r="F23" s="54"/>
      <x:c r="G23" s="1"/>
      <x:c r="H23" s="1"/>
      <x:c r="I23" s="1"/>
      <x:c r="J23" s="1"/>
      <x:c r="K23" s="1"/>
      <x:c r="L23" s="1"/>
      <x:c r="M23" s="1"/>
      <x:c r="N23" s="1"/>
      <x:c r="O23" s="1"/>
      <x:c r="P23" s="1"/>
    </x:row>
    <x:row r="24" ht="16.5">
      <x:c r="A24" s="171" t="n">
        <x:v>46312</x:v>
      </x:c>
      <x:c r="B24" s="52" t="str">
        <x:f t="shared" si="0">IF(SUM(C24:F24)=0,"",SUM(C24:F24))</x:f>
      </x:c>
      <x:c r="C24" s="53"/>
      <x:c r="D24" s="54"/>
      <x:c r="E24" s="54"/>
      <x:c r="F24" s="54"/>
      <x:c r="G24" s="1"/>
      <x:c r="H24" s="1"/>
      <x:c r="I24" s="1"/>
      <x:c r="J24" s="1"/>
      <x:c r="K24" s="1"/>
      <x:c r="L24" s="1"/>
      <x:c r="M24" s="1"/>
      <x:c r="N24" s="1"/>
      <x:c r="O24" s="1"/>
      <x:c r="P24" s="1"/>
    </x:row>
    <x:row r="25" ht="16.5">
      <x:c r="A25" s="171" t="n">
        <x:v>46313</x:v>
      </x:c>
      <x:c r="B25" s="52" t="str">
        <x:f t="shared" si="0">IF(SUM(C25:F25)=0,"",SUM(C25:F25))</x:f>
      </x:c>
      <x:c r="C25" s="53"/>
      <x:c r="D25" s="54"/>
      <x:c r="E25" s="54"/>
      <x:c r="F25" s="54"/>
      <x:c r="G25" s="1"/>
      <x:c r="H25" s="34"/>
      <x:c r="I25" s="34"/>
      <x:c r="J25" s="34"/>
      <x:c r="K25" s="1"/>
      <x:c r="L25" s="1"/>
      <x:c r="M25" s="1"/>
      <x:c r="N25" s="1"/>
      <x:c r="O25" s="1"/>
      <x:c r="P25" s="1"/>
    </x:row>
    <x:row r="26" ht="16.5">
      <x:c r="A26" s="171" t="n">
        <x:v>46314</x:v>
      </x:c>
      <x:c r="B26" s="52" t="str">
        <x:f t="shared" si="0">IF(SUM(C26:F26)=0,"",SUM(C26:F26))</x:f>
      </x:c>
      <x:c r="C26" s="53"/>
      <x:c r="D26" s="54"/>
      <x:c r="E26" s="54"/>
      <x:c r="F26" s="54"/>
      <x:c r="G26" s="1"/>
      <x:c r="H26" s="33"/>
      <x:c r="I26" s="33"/>
      <x:c r="J26" s="33"/>
      <x:c r="K26" s="1"/>
      <x:c r="L26" s="1"/>
      <x:c r="M26" s="1"/>
      <x:c r="N26" s="1"/>
      <x:c r="O26" s="1"/>
      <x:c r="P26" s="1"/>
    </x:row>
    <x:row r="27" ht="16.5">
      <x:c r="A27" s="171" t="n">
        <x:v>46315</x:v>
      </x:c>
      <x:c r="B27" s="52" t="str">
        <x:f t="shared" si="0">IF(SUM(C27:F27)=0,"",SUM(C27:F27))</x:f>
      </x:c>
      <x:c r="C27" s="53"/>
      <x:c r="D27" s="54"/>
      <x:c r="E27" s="54"/>
      <x:c r="F27" s="54"/>
      <x:c r="G27" s="1"/>
      <x:c r="H27" s="34"/>
      <x:c r="I27" s="35"/>
      <x:c r="J27" s="36"/>
      <x:c r="K27" s="1"/>
      <x:c r="L27" s="1"/>
      <x:c r="M27" s="1"/>
      <x:c r="N27" s="1"/>
      <x:c r="O27" s="1"/>
      <x:c r="P27" s="1"/>
    </x:row>
    <x:row r="28" ht="16.5">
      <x:c r="A28" s="171" t="n">
        <x:v>46316</x:v>
      </x:c>
      <x:c r="B28" s="52" t="str">
        <x:f t="shared" si="0">IF(SUM(C28:F28)=0,"",SUM(C28:F28))</x:f>
      </x:c>
      <x:c r="C28" s="53"/>
      <x:c r="D28" s="54"/>
      <x:c r="E28" s="54"/>
      <x:c r="F28" s="54"/>
      <x:c r="G28" s="1"/>
      <x:c r="H28" s="34"/>
      <x:c r="I28" s="37"/>
      <x:c r="J28" s="36"/>
      <x:c r="K28" s="1"/>
      <x:c r="L28" s="1"/>
      <x:c r="M28" s="1"/>
      <x:c r="N28" s="1"/>
      <x:c r="O28" s="1"/>
      <x:c r="P28" s="1"/>
    </x:row>
    <x:row r="29" ht="16.5">
      <x:c r="A29" s="171" t="n">
        <x:v>46317</x:v>
      </x:c>
      <x:c r="B29" s="52" t="str">
        <x:f t="shared" si="0">IF(SUM(C29:F29)=0,"",SUM(C29:F29))</x:f>
      </x:c>
      <x:c r="C29" s="55"/>
      <x:c r="D29" s="56"/>
      <x:c r="E29" s="56"/>
      <x:c r="F29" s="56"/>
      <x:c r="G29" s="1"/>
      <x:c r="H29" s="1"/>
      <x:c r="I29" s="29"/>
      <x:c r="J29" s="30"/>
      <x:c r="K29" s="1"/>
      <x:c r="L29" s="1"/>
      <x:c r="M29" s="1"/>
      <x:c r="N29" s="1"/>
      <x:c r="O29" s="1"/>
      <x:c r="P29" s="1"/>
    </x:row>
    <x:row r="30" ht="16.5">
      <x:c r="A30" s="171" t="n">
        <x:v>46318</x:v>
      </x:c>
      <x:c r="B30" s="52" t="str">
        <x:f t="shared" si="0">IF(SUM(C30:F30)=0,"",SUM(C30:F30))</x:f>
      </x:c>
      <x:c r="C30" s="53"/>
      <x:c r="D30" s="54"/>
      <x:c r="E30" s="54"/>
      <x:c r="F30" s="54"/>
      <x:c r="G30" s="1"/>
      <x:c r="H30" s="1"/>
      <x:c r="I30" s="31"/>
      <x:c r="J30" s="30"/>
      <x:c r="K30" s="1"/>
      <x:c r="L30" s="1"/>
      <x:c r="M30" s="1"/>
      <x:c r="N30" s="1"/>
      <x:c r="O30" s="1"/>
      <x:c r="P30" s="1"/>
    </x:row>
    <x:row r="31" ht="16.5">
      <x:c r="A31" s="171" t="n">
        <x:v>46319</x:v>
      </x:c>
      <x:c r="B31" s="52" t="str">
        <x:f t="shared" si="0">IF(SUM(C31:F31)=0,"",SUM(C31:F31))</x:f>
      </x:c>
      <x:c r="C31" s="53"/>
      <x:c r="D31" s="54"/>
      <x:c r="E31" s="54"/>
      <x:c r="F31" s="54"/>
      <x:c r="G31" s="1"/>
      <x:c r="H31" s="1"/>
      <x:c r="I31" s="29"/>
      <x:c r="J31" s="30"/>
      <x:c r="K31" s="1"/>
      <x:c r="L31" s="1"/>
      <x:c r="M31" s="1"/>
      <x:c r="N31" s="1"/>
      <x:c r="O31" s="1"/>
      <x:c r="P31" s="1"/>
    </x:row>
    <x:row r="32" ht="16.5">
      <x:c r="A32" s="171" t="n">
        <x:v>46320</x:v>
      </x:c>
      <x:c r="B32" s="52" t="str">
        <x:f t="shared" si="0">IF(SUM(C32:F32)=0,"",SUM(C32:F32))</x:f>
      </x:c>
      <x:c r="C32" s="53"/>
      <x:c r="D32" s="54"/>
      <x:c r="E32" s="54"/>
      <x:c r="F32" s="54"/>
      <x:c r="G32" s="1"/>
      <x:c r="H32" s="1"/>
      <x:c r="I32" s="31"/>
      <x:c r="J32" s="30"/>
      <x:c r="K32" s="1"/>
      <x:c r="L32" s="1"/>
      <x:c r="M32" s="1"/>
      <x:c r="N32" s="1"/>
      <x:c r="O32" s="1"/>
      <x:c r="P32" s="1"/>
    </x:row>
    <x:row r="33" ht="16.5">
      <x:c r="A33" s="171" t="n">
        <x:v>46321</x:v>
      </x:c>
      <x:c r="B33" s="52" t="str">
        <x:f t="shared" si="0">IF(SUM(C33:F33)=0,"",SUM(C33:F33))</x:f>
      </x:c>
      <x:c r="C33" s="53"/>
      <x:c r="D33" s="54"/>
      <x:c r="E33" s="54"/>
      <x:c r="F33" s="54"/>
      <x:c r="G33" s="1"/>
      <x:c r="H33" s="1"/>
      <x:c r="I33" s="32"/>
      <x:c r="J33" s="30"/>
      <x:c r="K33" s="1"/>
      <x:c r="L33" s="1"/>
      <x:c r="M33" s="1"/>
      <x:c r="N33" s="1"/>
      <x:c r="O33" s="1"/>
      <x:c r="P33" s="1"/>
    </x:row>
    <x:row r="34" ht="16.5">
      <x:c r="A34" s="171" t="n">
        <x:v>46322</x:v>
      </x:c>
      <x:c r="B34" s="52" t="str">
        <x:f t="shared" si="0">IF(SUM(C34:F34)=0,"",SUM(C34:F34))</x:f>
      </x:c>
      <x:c r="C34" s="53"/>
      <x:c r="D34" s="54"/>
      <x:c r="E34" s="54"/>
      <x:c r="F34" s="54"/>
      <x:c r="G34" s="1"/>
      <x:c r="H34" s="1"/>
      <x:c r="I34" s="1"/>
      <x:c r="J34" s="1"/>
      <x:c r="K34" s="1"/>
      <x:c r="L34" s="1"/>
      <x:c r="M34" s="1"/>
      <x:c r="N34" s="1"/>
      <x:c r="O34" s="1"/>
      <x:c r="P34" s="1"/>
    </x:row>
    <x:row r="35" ht="16.5">
      <x:c r="A35" s="171" t="n">
        <x:v>46323</x:v>
      </x:c>
      <x:c r="B35" s="52" t="str">
        <x:f t="shared" si="0">IF(SUM(C35:F35)=0,"",SUM(C35:F35))</x:f>
      </x:c>
      <x:c r="C35" s="53"/>
      <x:c r="D35" s="54"/>
      <x:c r="E35" s="54"/>
      <x:c r="F35" s="54"/>
      <x:c r="G35" s="1"/>
      <x:c r="H35" s="1"/>
      <x:c r="I35" s="1"/>
      <x:c r="J35" s="1"/>
      <x:c r="K35" s="1"/>
      <x:c r="L35" s="1"/>
      <x:c r="M35" s="1"/>
      <x:c r="N35" s="1"/>
      <x:c r="O35" s="1"/>
      <x:c r="P35" s="1"/>
    </x:row>
    <x:row r="36" ht="16.5">
      <x:c r="A36" s="171" t="n">
        <x:v>46324</x:v>
      </x:c>
      <x:c r="B36" s="52" t="str">
        <x:f t="shared" si="0">IF(SUM(C36:F36)=0,"",SUM(C36:F36))</x:f>
      </x:c>
      <x:c r="C36" s="53"/>
      <x:c r="D36" s="54"/>
      <x:c r="E36" s="54"/>
      <x:c r="F36" s="54"/>
      <x:c r="G36" s="1"/>
      <x:c r="H36" s="1"/>
      <x:c r="I36" s="1"/>
      <x:c r="J36" s="1"/>
      <x:c r="K36" s="1"/>
      <x:c r="L36" s="1"/>
      <x:c r="M36" s="1"/>
      <x:c r="N36" s="1"/>
      <x:c r="O36" s="1"/>
      <x:c r="P36" s="1"/>
    </x:row>
    <x:row r="37" ht="16.5">
      <x:c r="A37" s="171" t="n">
        <x:v>46325</x:v>
      </x:c>
      <x:c r="B37" s="52" t="str">
        <x:f t="shared" si="0">IF(SUM(C37:F37)=0,"",SUM(C37:F37))</x:f>
      </x:c>
      <x:c r="C37" s="53"/>
      <x:c r="D37" s="54"/>
      <x:c r="E37" s="54"/>
      <x:c r="F37" s="54"/>
      <x:c r="G37" s="1"/>
      <x:c r="H37" s="1"/>
      <x:c r="I37" s="1"/>
      <x:c r="J37" s="1"/>
      <x:c r="K37" s="1"/>
      <x:c r="L37" s="1"/>
      <x:c r="M37" s="1"/>
      <x:c r="N37" s="1"/>
      <x:c r="O37" s="1"/>
      <x:c r="P37" s="1"/>
    </x:row>
    <x:row r="38" ht="16.5">
      <x:c r="A38" s="171" t="n">
        <x:v>46326</x:v>
      </x:c>
      <x:c r="B38" s="52" t="str">
        <x:f t="shared" si="0">IF(SUM(C38:F38)=0,"",SUM(C38:F38))</x:f>
      </x:c>
      <x:c r="C38" s="53"/>
      <x:c r="D38" s="54"/>
      <x:c r="E38" s="54"/>
      <x:c r="F38" s="54"/>
      <x:c r="G38" s="1"/>
      <x:c r="H38" s="1"/>
      <x:c r="I38" s="1"/>
      <x:c r="J38" s="1"/>
      <x:c r="K38" s="1"/>
      <x:c r="L38" s="1"/>
      <x:c r="M38" s="1"/>
      <x:c r="N38" s="1"/>
      <x:c r="O38" s="1"/>
      <x:c r="P38" s="1"/>
    </x:row>
    <x:row r="39" ht="16.5">
      <x:c r="A39" s="51"/>
      <x:c r="B39" s="57" t="str">
        <x:f>IF(SUM(B8:B38)=0,"",SUM(B8:B38))</x:f>
      </x:c>
      <x:c r="C39" s="58" t="str">
        <x:f>IF(SUM(C8:C38)=0,"",SUM(C8:C38))</x:f>
      </x:c>
      <x:c r="D39" s="59" t="str">
        <x:f>IF(SUM(D8:D38)=0,"",SUM(D8:D38))</x:f>
      </x:c>
      <x:c r="E39" s="59" t="str">
        <x:f>IF(SUM(E8:E38)=0,"",SUM(E8:E38))</x:f>
      </x:c>
      <x:c r="F39" s="59" t="str">
        <x:f>IF(SUM(F8:F38)=0,"",SUM(F8:F38))</x:f>
      </x:c>
      <x:c r="G39" s="1"/>
      <x:c r="H39" s="1"/>
      <x:c r="I39" s="1"/>
      <x:c r="J39" s="1"/>
      <x:c r="K39" s="1"/>
      <x:c r="L39" s="1"/>
      <x:c r="M39" s="1"/>
      <x:c r="N39" s="1"/>
      <x:c r="O39" s="1"/>
      <x:c r="P39" s="1"/>
    </x:row>
    <x:row r="40" ht="16.5">
      <x:c r="B40" s="11"/>
      <x:c r="C40" s="1"/>
      <x:c r="D40" s="19"/>
      <x:c r="E40" s="19"/>
      <x:c r="F40" s="19"/>
      <x:c r="G40" s="1"/>
      <x:c r="H40" s="1"/>
      <x:c r="I40" s="1"/>
      <x:c r="J40" s="1"/>
      <x:c r="K40" s="1"/>
      <x:c r="L40" s="1"/>
      <x:c r="M40" s="1"/>
      <x:c r="N40" s="1"/>
      <x:c r="O40" s="1"/>
      <x:c r="P40" s="1"/>
    </x:row>
    <x:row r="41" ht="16.5">
      <x:c r="B41" s="11"/>
      <x:c r="C41" s="1"/>
      <x:c r="D41" s="19"/>
      <x:c r="E41" s="19"/>
      <x:c r="F41" s="19"/>
      <x:c r="G41" s="1"/>
      <x:c r="H41" s="1"/>
      <x:c r="I41" s="1"/>
      <x:c r="J41" s="1"/>
      <x:c r="K41" s="1"/>
      <x:c r="L41" s="1"/>
      <x:c r="M41" s="1"/>
      <x:c r="N41" s="1"/>
      <x:c r="O41" s="1"/>
      <x:c r="P41" s="1"/>
    </x:row>
    <x:row r="42" ht="16.5">
      <x:c r="B42" s="11"/>
      <x:c r="C42" s="27"/>
      <x:c r="D42" s="19"/>
      <x:c r="E42" s="19"/>
      <x:c r="F42" s="19"/>
      <x:c r="G42" s="1"/>
      <x:c r="H42" s="1"/>
      <x:c r="I42" s="1"/>
      <x:c r="J42" s="1"/>
      <x:c r="K42" s="1"/>
      <x:c r="L42" s="1"/>
      <x:c r="M42" s="1"/>
      <x:c r="N42" s="1"/>
      <x:c r="O42" s="1"/>
      <x:c r="P42" s="1"/>
    </x:row>
    <x:row r="43" ht="16.5">
      <x:c r="B43" s="11"/>
      <x:c r="C43" s="27"/>
      <x:c r="D43" s="19"/>
      <x:c r="E43" s="19"/>
      <x:c r="F43" s="19"/>
      <x:c r="G43" s="1"/>
      <x:c r="H43" s="1"/>
      <x:c r="I43" s="1"/>
      <x:c r="J43" s="1"/>
      <x:c r="K43" s="1"/>
      <x:c r="L43" s="1"/>
      <x:c r="M43" s="1"/>
      <x:c r="N43" s="1"/>
      <x:c r="O43" s="1"/>
      <x:c r="P43" s="1"/>
    </x:row>
    <x:row r="44" ht="16.5">
      <x:c r="B44" s="11"/>
      <x:c r="C44" s="27"/>
      <x:c r="D44" s="19"/>
      <x:c r="E44" s="19"/>
      <x:c r="F44" s="19"/>
      <x:c r="G44" s="1"/>
      <x:c r="H44" s="1"/>
      <x:c r="I44" s="1"/>
      <x:c r="J44" s="1"/>
      <x:c r="K44" s="1"/>
      <x:c r="L44" s="1"/>
      <x:c r="M44" s="1"/>
      <x:c r="N44" s="1"/>
      <x:c r="O44" s="1"/>
      <x:c r="P44" s="1"/>
    </x:row>
    <x:row r="45" ht="16.5">
      <x:c r="B45" s="11"/>
      <x:c r="C45" s="1"/>
      <x:c r="D45" s="19"/>
      <x:c r="E45" s="19"/>
      <x:c r="F45" s="19"/>
      <x:c r="G45" s="1"/>
      <x:c r="H45" s="1"/>
      <x:c r="I45" s="1"/>
      <x:c r="J45" s="1"/>
      <x:c r="K45" s="1"/>
      <x:c r="L45" s="1"/>
      <x:c r="M45" s="1"/>
      <x:c r="N45" s="1"/>
      <x:c r="O45" s="1"/>
      <x:c r="P45" s="1"/>
    </x:row>
    <x:row r="46" ht="16.5">
      <x:c r="B46" s="11"/>
      <x:c r="C46" s="1"/>
      <x:c r="D46" s="19"/>
      <x:c r="E46" s="19"/>
      <x:c r="F46" s="19"/>
      <x:c r="G46" s="1"/>
      <x:c r="H46" s="1"/>
      <x:c r="I46" s="1"/>
      <x:c r="J46" s="1"/>
      <x:c r="K46" s="1"/>
      <x:c r="L46" s="1"/>
      <x:c r="M46" s="1"/>
      <x:c r="N46" s="1"/>
      <x:c r="O46" s="1"/>
      <x:c r="P46" s="1"/>
    </x:row>
    <x:row r="47" ht="16.5">
      <x:c r="B47" s="11"/>
      <x:c r="C47" s="1"/>
      <x:c r="D47" s="19"/>
      <x:c r="E47" s="19"/>
      <x:c r="F47" s="19"/>
      <x:c r="G47" s="1"/>
      <x:c r="H47" s="1"/>
      <x:c r="I47" s="1"/>
      <x:c r="J47" s="1"/>
      <x:c r="K47" s="1"/>
      <x:c r="L47" s="1"/>
      <x:c r="M47" s="1"/>
      <x:c r="N47" s="1"/>
      <x:c r="O47" s="1"/>
      <x:c r="P47" s="1"/>
    </x:row>
    <x:row r="48" ht="16.5">
      <x:c r="B48" s="11"/>
      <x:c r="C48" s="1"/>
      <x:c r="D48" s="19"/>
      <x:c r="E48" s="19"/>
      <x:c r="F48" s="19"/>
      <x:c r="G48" s="1"/>
      <x:c r="H48" s="1"/>
      <x:c r="I48" s="1"/>
      <x:c r="J48" s="1"/>
      <x:c r="K48" s="1"/>
      <x:c r="L48" s="1"/>
      <x:c r="M48" s="1"/>
      <x:c r="N48" s="1"/>
      <x:c r="O48" s="1"/>
      <x:c r="P48" s="1"/>
    </x:row>
    <x:row r="49" ht="16.5">
      <x:c r="A49"/>
      <x:c r="B49" s="11"/>
      <x:c r="C49" s="1"/>
      <x:c r="D49" s="19"/>
      <x:c r="E49" s="19"/>
      <x:c r="F49" s="19"/>
      <x:c r="G49" s="1"/>
      <x:c r="H49" s="1"/>
      <x:c r="I49" s="1"/>
      <x:c r="J49" s="1"/>
      <x:c r="K49" s="1"/>
      <x:c r="L49" s="1"/>
      <x:c r="M49" s="1"/>
      <x:c r="N49" s="1"/>
      <x:c r="O49" s="1"/>
      <x:c r="P49" s="1"/>
    </x:row>
    <x:row r="50" ht="16.5">
      <x:c r="A50"/>
      <x:c r="B50" s="11"/>
      <x:c r="C50" s="1"/>
      <x:c r="D50" s="19"/>
      <x:c r="E50" s="19"/>
      <x:c r="F50" s="19"/>
      <x:c r="G50" s="1"/>
      <x:c r="H50" s="1"/>
      <x:c r="I50" s="1"/>
      <x:c r="J50" s="1"/>
      <x:c r="K50" s="1"/>
      <x:c r="L50" s="1"/>
      <x:c r="M50" s="1"/>
      <x:c r="N50" s="1"/>
      <x:c r="O50" s="1"/>
      <x:c r="P50" s="1"/>
    </x:row>
    <x:row r="51" ht="16.5">
      <x:c r="A51"/>
      <x:c r="B51" s="11"/>
      <x:c r="C51" s="1"/>
      <x:c r="D51" s="19"/>
      <x:c r="E51" s="19"/>
      <x:c r="F51" s="19"/>
      <x:c r="G51" s="1"/>
      <x:c r="H51" s="1"/>
      <x:c r="I51" s="1"/>
      <x:c r="J51" s="1"/>
      <x:c r="K51" s="1"/>
      <x:c r="L51" s="1"/>
      <x:c r="M51" s="1"/>
      <x:c r="N51" s="1"/>
      <x:c r="O51" s="1"/>
      <x:c r="P51" s="1"/>
    </x:row>
    <x:row r="52" ht="16.5">
      <x:c r="A52"/>
      <x:c r="B52" s="11"/>
      <x:c r="C52" s="1"/>
      <x:c r="D52" s="19"/>
      <x:c r="E52" s="19"/>
      <x:c r="F52" s="19"/>
      <x:c r="G52" s="1"/>
      <x:c r="H52" s="1"/>
      <x:c r="I52" s="1"/>
      <x:c r="J52" s="1"/>
      <x:c r="K52" s="1"/>
      <x:c r="L52" s="1"/>
      <x:c r="M52" s="1"/>
      <x:c r="N52" s="1"/>
      <x:c r="O52" s="1"/>
      <x:c r="P52" s="1"/>
    </x:row>
    <x:row r="53" ht="16.5">
      <x:c r="A53"/>
      <x:c r="B53" s="11"/>
      <x:c r="C53" s="1"/>
      <x:c r="D53" s="19"/>
      <x:c r="E53" s="19"/>
      <x:c r="F53" s="19"/>
      <x:c r="G53" s="1"/>
      <x:c r="H53" s="1"/>
      <x:c r="I53" s="1"/>
      <x:c r="J53" s="1"/>
      <x:c r="K53" s="1"/>
      <x:c r="L53" s="1"/>
      <x:c r="M53" s="1"/>
      <x:c r="N53" s="1"/>
      <x:c r="O53" s="1"/>
      <x:c r="P53" s="1"/>
    </x:row>
    <x:row r="54" ht="16.5">
      <x:c r="A54"/>
      <x:c r="B54" s="11"/>
      <x:c r="C54" s="1"/>
      <x:c r="D54" s="19"/>
      <x:c r="E54" s="19"/>
      <x:c r="F54" s="19"/>
      <x:c r="G54" s="1"/>
      <x:c r="H54" s="1"/>
      <x:c r="I54" s="1"/>
      <x:c r="J54" s="1"/>
      <x:c r="K54" s="1"/>
      <x:c r="L54" s="1"/>
      <x:c r="M54" s="1"/>
      <x:c r="N54" s="1"/>
      <x:c r="O54" s="1"/>
      <x:c r="P54" s="1"/>
    </x:row>
    <x:row r="55" ht="16.5">
      <x:c r="A55"/>
      <x:c r="B55" s="11"/>
      <x:c r="C55" s="1"/>
      <x:c r="D55" s="19"/>
      <x:c r="E55" s="19"/>
      <x:c r="F55" s="19"/>
      <x:c r="G55" s="1"/>
      <x:c r="H55" s="1"/>
      <x:c r="I55" s="1"/>
      <x:c r="J55" s="1"/>
      <x:c r="K55" s="1"/>
      <x:c r="L55" s="1"/>
      <x:c r="M55" s="1"/>
      <x:c r="N55" s="1"/>
      <x:c r="O55" s="1"/>
      <x:c r="P55" s="1"/>
    </x:row>
    <x:row r="56" ht="16.5">
      <x:c r="A56"/>
      <x:c r="B56" s="11"/>
      <x:c r="C56" s="1"/>
      <x:c r="D56" s="19"/>
      <x:c r="E56" s="19"/>
      <x:c r="F56" s="19"/>
      <x:c r="G56" s="1"/>
      <x:c r="H56" s="1"/>
      <x:c r="I56" s="1"/>
      <x:c r="J56" s="1"/>
      <x:c r="K56" s="1"/>
      <x:c r="L56" s="1"/>
      <x:c r="M56" s="1"/>
      <x:c r="N56" s="1"/>
      <x:c r="O56" s="1"/>
      <x:c r="P56" s="1"/>
    </x:row>
    <x:row r="57" ht="16.5">
      <x:c r="A57"/>
      <x:c r="B57" s="11"/>
      <x:c r="C57" s="1"/>
      <x:c r="D57" s="19"/>
      <x:c r="E57" s="19"/>
      <x:c r="F57" s="19"/>
      <x:c r="G57" s="1"/>
      <x:c r="H57" s="1"/>
      <x:c r="I57" s="1"/>
      <x:c r="J57" s="1"/>
      <x:c r="K57" s="1"/>
      <x:c r="L57" s="1"/>
      <x:c r="M57" s="1"/>
      <x:c r="N57" s="1"/>
      <x:c r="O57" s="1"/>
      <x:c r="P57" s="1"/>
    </x:row>
    <x:row r="58" ht="16.5">
      <x:c r="A58"/>
      <x:c r="B58" s="11"/>
      <x:c r="C58" s="1"/>
      <x:c r="D58" s="19"/>
      <x:c r="E58" s="19"/>
      <x:c r="F58" s="19"/>
      <x:c r="G58" s="1"/>
      <x:c r="H58" s="1"/>
      <x:c r="I58" s="1"/>
      <x:c r="J58" s="1"/>
      <x:c r="K58" s="1"/>
      <x:c r="L58" s="1"/>
      <x:c r="M58" s="1"/>
      <x:c r="N58" s="1"/>
      <x:c r="O58" s="1"/>
      <x:c r="P58" s="1"/>
    </x:row>
    <x:row r="59" ht="16.5">
      <x:c r="A59"/>
      <x:c r="B59" s="11"/>
      <x:c r="C59" s="1"/>
      <x:c r="D59" s="19"/>
      <x:c r="E59" s="19"/>
      <x:c r="F59" s="19"/>
      <x:c r="G59" s="1"/>
      <x:c r="H59" s="1"/>
      <x:c r="I59" s="1"/>
      <x:c r="J59" s="1"/>
      <x:c r="K59" s="1"/>
      <x:c r="L59" s="1"/>
      <x:c r="M59" s="1"/>
      <x:c r="N59" s="1"/>
      <x:c r="O59" s="1"/>
      <x:c r="P59" s="1"/>
    </x:row>
    <x:row r="60" ht="16.5">
      <x:c r="A60"/>
      <x:c r="B60" s="11"/>
      <x:c r="C60" s="1"/>
      <x:c r="D60" s="19"/>
      <x:c r="E60" s="19"/>
      <x:c r="F60" s="19"/>
      <x:c r="G60" s="1"/>
      <x:c r="H60" s="1"/>
      <x:c r="I60" s="1"/>
      <x:c r="J60" s="1"/>
      <x:c r="K60" s="1"/>
      <x:c r="L60" s="1"/>
      <x:c r="M60" s="1"/>
      <x:c r="N60" s="1"/>
      <x:c r="O60" s="1"/>
      <x:c r="P60" s="1"/>
    </x:row>
    <x:row r="61" ht="16.5">
      <x:c r="A61"/>
      <x:c r="B61" s="11"/>
      <x:c r="C61" s="1"/>
      <x:c r="D61" s="19"/>
      <x:c r="E61" s="19"/>
      <x:c r="F61" s="19"/>
      <x:c r="G61" s="1"/>
      <x:c r="H61" s="1"/>
      <x:c r="I61" s="1"/>
      <x:c r="J61" s="1"/>
      <x:c r="K61" s="1"/>
      <x:c r="L61" s="1"/>
      <x:c r="M61" s="1"/>
      <x:c r="N61" s="1"/>
      <x:c r="O61" s="1"/>
      <x:c r="P61" s="1"/>
    </x:row>
    <x:row r="62" ht="16.5">
      <x:c r="A62"/>
      <x:c r="B62" s="11"/>
      <x:c r="C62" s="1"/>
      <x:c r="D62" s="19"/>
      <x:c r="E62" s="19"/>
      <x:c r="F62" s="19"/>
      <x:c r="G62" s="1"/>
      <x:c r="H62" s="1"/>
      <x:c r="I62" s="1"/>
      <x:c r="J62" s="1"/>
      <x:c r="K62" s="1"/>
      <x:c r="L62" s="1"/>
      <x:c r="M62" s="1"/>
      <x:c r="N62" s="1"/>
      <x:c r="O62" s="1"/>
      <x:c r="P62" s="1"/>
    </x:row>
    <x:row r="63" ht="16.5">
      <x:c r="A63"/>
      <x:c r="B63" s="11"/>
      <x:c r="C63" s="1"/>
      <x:c r="D63" s="19"/>
      <x:c r="E63" s="19"/>
      <x:c r="F63" s="19"/>
      <x:c r="G63" s="1"/>
      <x:c r="H63" s="1"/>
      <x:c r="I63" s="1"/>
      <x:c r="J63" s="1"/>
      <x:c r="K63" s="1"/>
      <x:c r="L63" s="1"/>
      <x:c r="M63" s="1"/>
      <x:c r="N63" s="1"/>
      <x:c r="O63" s="1"/>
      <x:c r="P63" s="1"/>
    </x:row>
    <x:row r="64" ht="16.5">
      <x:c r="A64"/>
      <x:c r="B64" s="11"/>
      <x:c r="C64" s="1"/>
      <x:c r="D64" s="19"/>
      <x:c r="E64" s="19"/>
      <x:c r="F64" s="19"/>
      <x:c r="G64" s="1"/>
      <x:c r="H64" s="1"/>
      <x:c r="I64" s="1"/>
      <x:c r="J64" s="1"/>
      <x:c r="K64" s="1"/>
      <x:c r="L64" s="1"/>
      <x:c r="M64" s="1"/>
      <x:c r="N64" s="1"/>
      <x:c r="O64" s="1"/>
      <x:c r="P64" s="1"/>
    </x:row>
    <x:row r="65" ht="16.5">
      <x:c r="A65"/>
      <x:c r="B65" s="11"/>
      <x:c r="C65" s="1"/>
      <x:c r="D65" s="19"/>
      <x:c r="E65" s="19"/>
      <x:c r="F65" s="19"/>
      <x:c r="G65" s="1"/>
      <x:c r="H65" s="1"/>
      <x:c r="I65" s="1"/>
      <x:c r="J65" s="1"/>
      <x:c r="K65" s="1"/>
      <x:c r="L65" s="1"/>
      <x:c r="M65" s="1"/>
      <x:c r="N65" s="1"/>
      <x:c r="O65" s="1"/>
      <x:c r="P65" s="1"/>
    </x:row>
    <x:row r="66" ht="16.5">
      <x:c r="A66"/>
      <x:c r="B66" s="11"/>
      <x:c r="C66" s="1"/>
      <x:c r="D66" s="19"/>
      <x:c r="E66" s="19"/>
      <x:c r="F66" s="19"/>
      <x:c r="G66" s="1"/>
      <x:c r="H66" s="1"/>
      <x:c r="I66" s="1"/>
      <x:c r="J66" s="1"/>
      <x:c r="K66" s="1"/>
      <x:c r="L66" s="1"/>
      <x:c r="M66" s="1"/>
      <x:c r="N66" s="1"/>
      <x:c r="O66" s="1"/>
      <x:c r="P66" s="1"/>
    </x:row>
    <x:row r="67" ht="16.5">
      <x:c r="A67"/>
      <x:c r="B67" s="11"/>
      <x:c r="C67" s="1"/>
      <x:c r="D67" s="19"/>
      <x:c r="E67" s="19"/>
      <x:c r="F67" s="19"/>
      <x:c r="G67" s="1"/>
      <x:c r="H67" s="1"/>
      <x:c r="I67" s="1"/>
      <x:c r="J67" s="1"/>
      <x:c r="K67" s="1"/>
      <x:c r="L67" s="1"/>
      <x:c r="M67" s="1"/>
      <x:c r="N67" s="1"/>
      <x:c r="O67" s="1"/>
      <x:c r="P67" s="1"/>
    </x:row>
    <x:row r="68" ht="16.5">
      <x:c r="A68"/>
      <x:c r="B68" s="11"/>
      <x:c r="C68" s="1"/>
      <x:c r="D68" s="19"/>
      <x:c r="E68" s="19"/>
      <x:c r="F68" s="19"/>
      <x:c r="G68" s="1"/>
      <x:c r="H68" s="1"/>
      <x:c r="I68" s="1"/>
      <x:c r="J68" s="1"/>
      <x:c r="K68" s="1"/>
      <x:c r="L68" s="1"/>
      <x:c r="M68" s="1"/>
      <x:c r="N68" s="1"/>
      <x:c r="O68" s="1"/>
      <x:c r="P68" s="1"/>
    </x:row>
    <x:row r="69" ht="16.5">
      <x:c r="A69"/>
      <x:c r="B69" s="11"/>
      <x:c r="C69" s="1"/>
      <x:c r="D69" s="19"/>
      <x:c r="E69" s="19"/>
      <x:c r="F69" s="19"/>
      <x:c r="G69" s="1"/>
      <x:c r="H69" s="1"/>
      <x:c r="I69" s="1"/>
      <x:c r="J69" s="1"/>
      <x:c r="K69" s="1"/>
      <x:c r="L69" s="1"/>
      <x:c r="M69" s="1"/>
      <x:c r="N69" s="1"/>
      <x:c r="O69" s="1"/>
      <x:c r="P69" s="1"/>
    </x:row>
    <x:row r="70" ht="16.5">
      <x:c r="A70"/>
      <x:c r="B70" s="11"/>
      <x:c r="C70" s="1"/>
      <x:c r="D70" s="19"/>
      <x:c r="E70" s="19"/>
      <x:c r="F70" s="19"/>
      <x:c r="G70" s="1"/>
      <x:c r="H70" s="1"/>
      <x:c r="I70" s="1"/>
      <x:c r="J70" s="1"/>
      <x:c r="K70" s="1"/>
      <x:c r="L70" s="1"/>
      <x:c r="M70" s="1"/>
      <x:c r="N70" s="1"/>
      <x:c r="O70" s="1"/>
      <x:c r="P70" s="1"/>
    </x:row>
    <x:row r="71" ht="16.5">
      <x:c r="A71"/>
      <x:c r="B71" s="11"/>
      <x:c r="C71" s="1"/>
      <x:c r="D71" s="19"/>
      <x:c r="E71" s="19"/>
      <x:c r="F71" s="19"/>
      <x:c r="G71" s="1"/>
      <x:c r="H71" s="1"/>
      <x:c r="I71" s="1"/>
      <x:c r="J71" s="1"/>
      <x:c r="K71" s="1"/>
      <x:c r="L71" s="1"/>
      <x:c r="M71" s="1"/>
      <x:c r="N71" s="1"/>
      <x:c r="O71" s="1"/>
      <x:c r="P71" s="1"/>
    </x:row>
    <x:row r="72" ht="16.5">
      <x:c r="A72"/>
      <x:c r="B72" s="11"/>
      <x:c r="C72" s="1"/>
      <x:c r="D72" s="19"/>
      <x:c r="E72" s="19"/>
      <x:c r="F72" s="19"/>
      <x:c r="G72" s="1"/>
      <x:c r="H72" s="1"/>
      <x:c r="I72" s="1"/>
      <x:c r="J72" s="1"/>
      <x:c r="K72" s="1"/>
      <x:c r="L72" s="1"/>
      <x:c r="M72" s="1"/>
      <x:c r="N72" s="1"/>
      <x:c r="O72" s="1"/>
      <x:c r="P72" s="1"/>
    </x:row>
    <x:row r="73" ht="16.5">
      <x:c r="A73"/>
      <x:c r="B73" s="11"/>
      <x:c r="C73" s="1"/>
      <x:c r="D73" s="19"/>
      <x:c r="E73" s="19"/>
      <x:c r="F73" s="19"/>
      <x:c r="G73" s="1"/>
      <x:c r="H73" s="1"/>
      <x:c r="I73" s="1"/>
      <x:c r="J73" s="1"/>
      <x:c r="K73" s="1"/>
      <x:c r="L73" s="1"/>
      <x:c r="M73" s="1"/>
      <x:c r="N73" s="1"/>
      <x:c r="O73" s="1"/>
      <x:c r="P73" s="1"/>
    </x:row>
    <x:row r="74" ht="16.5">
      <x:c r="A74"/>
      <x:c r="B74" s="11"/>
      <x:c r="C74" s="1"/>
      <x:c r="D74" s="19"/>
      <x:c r="E74" s="19"/>
      <x:c r="F74" s="19"/>
      <x:c r="G74" s="1"/>
      <x:c r="H74" s="1"/>
      <x:c r="I74" s="1"/>
      <x:c r="J74" s="1"/>
      <x:c r="K74" s="1"/>
      <x:c r="L74" s="1"/>
      <x:c r="M74" s="1"/>
      <x:c r="N74" s="1"/>
      <x:c r="O74" s="1"/>
      <x:c r="P74" s="1"/>
    </x:row>
    <x:row r="75" ht="16.5">
      <x:c r="A75"/>
      <x:c r="B75" s="11"/>
      <x:c r="C75" s="1"/>
      <x:c r="D75" s="19"/>
      <x:c r="E75" s="19"/>
      <x:c r="F75" s="19"/>
      <x:c r="G75" s="1"/>
      <x:c r="H75" s="1"/>
      <x:c r="I75" s="1"/>
      <x:c r="J75" s="1"/>
      <x:c r="K75" s="1"/>
      <x:c r="L75" s="1"/>
      <x:c r="M75" s="1"/>
      <x:c r="N75" s="1"/>
      <x:c r="O75" s="1"/>
      <x:c r="P75" s="1"/>
    </x:row>
    <x:row r="76" ht="16.5">
      <x:c r="A76"/>
      <x:c r="B76" s="11"/>
      <x:c r="C76" s="1"/>
      <x:c r="D76" s="19"/>
      <x:c r="E76" s="19"/>
      <x:c r="F76" s="19"/>
      <x:c r="G76" s="1"/>
      <x:c r="H76" s="1"/>
      <x:c r="I76" s="1"/>
      <x:c r="J76" s="1"/>
      <x:c r="K76" s="1"/>
      <x:c r="L76" s="1"/>
      <x:c r="M76" s="1"/>
      <x:c r="N76" s="1"/>
      <x:c r="O76" s="1"/>
      <x:c r="P76" s="1"/>
    </x:row>
    <x:row r="77" ht="16.5">
      <x:c r="A77"/>
      <x:c r="B77" s="11"/>
      <x:c r="C77" s="1"/>
      <x:c r="D77" s="19"/>
      <x:c r="E77" s="19"/>
      <x:c r="F77" s="19"/>
      <x:c r="G77" s="1"/>
      <x:c r="H77" s="1"/>
      <x:c r="I77" s="1"/>
      <x:c r="J77" s="1"/>
      <x:c r="K77" s="1"/>
      <x:c r="L77" s="1"/>
      <x:c r="M77" s="1"/>
      <x:c r="N77" s="1"/>
      <x:c r="O77" s="1"/>
      <x:c r="P77" s="1"/>
    </x:row>
  </x:sheetData>
  <x:mergeCells>
    <x:mergeCell ref="H5:J5"/>
  </x:mergeCells>
  <x:pageMargins left="0.7" right="0.7" top="0.75" bottom="0.75" header="0.3" footer="0.3"/>
  <x:drawing xmlns:r="http://schemas.openxmlformats.org/officeDocument/2006/relationships" r:id="R7b04d022e26e4036"/>
</x:worksheet>
</file>

<file path=xl/worksheets/sheet26.xml><?xml version="1.0" encoding="utf-8"?>
<x:worksheet xmlns:x="http://schemas.openxmlformats.org/spreadsheetml/2006/main">
  <x:sheetPr>
    <x:tabColor rgb="FFCC99FF"/>
  </x:sheetPr>
  <x:sheetFormatPr defaultRowHeight="15"/>
  <x:cols>
    <x:col min="1" max="1" width="16.42578125" customWidth="1"/>
    <x:col min="2" max="2" width="15.140625" customWidth="1"/>
  </x:cols>
  <x:sheetData>
    <x:row r="1" ht="62.25" customHeight="1">
      <x:c r="A1" s="147" t="s">
        <x:v>34</x:v>
      </x:c>
      <x:c r="B1" s="151"/>
      <x:c r="C1" s="151"/>
      <x:c r="D1" s="151"/>
      <x:c r="E1" s="151"/>
      <x:c r="F1" s="151"/>
      <x:c r="G1" s="151"/>
      <x:c r="H1" s="151"/>
      <x:c r="I1" s="151"/>
      <x:c r="J1" s="151"/>
      <x:c r="K1" s="151"/>
      <x:c r="L1" s="151"/>
      <x:c r="M1" s="151"/>
      <x:c r="N1" s="151"/>
      <x:c r="O1" s="151"/>
      <x:c r="P1" s="151"/>
      <x:c r="Q1" s="151"/>
      <x:c r="R1" s="151"/>
      <x:c r="S1" s="151"/>
      <x:c r="T1" s="151"/>
    </x:row>
    <x:row r="2" ht="42" customHeight="1">
      <x:c r="A2"/>
      <x:c r="B2"/>
      <x:c r="C2"/>
    </x:row>
    <x:row r="3" ht="22.5" customHeight="1">
      <x:c r="A3" s="144" t="s">
        <x:v>35</x:v>
      </x:c>
      <x:c r="B3" s="145"/>
      <x:c r="C3" s="146"/>
    </x:row>
    <x:row r="4" ht="17.25">
      <x:c r="A4" s="44"/>
      <x:c r="B4" s="45"/>
      <x:c r="C4" s="46"/>
    </x:row>
    <x:row r="5" ht="17.25">
      <x:c r="A5" s="71" t="s">
        <x:v>36</x:v>
      </x:c>
      <x:c r="B5" s="72" t="str">
        <x:f>IF('SHOP OCTOBER 2026 (8)'!B40="","",'SHOP OCTOBER 2026 (8)'!B40)</x:f>
      </x:c>
      <x:c r="C5" s="47" t="str">
        <x:f>IFERROR(B5/B7,"")</x:f>
      </x:c>
    </x:row>
    <x:row r="6" ht="18">
      <x:c r="A6" s="73" t="s">
        <x:v>37</x:v>
      </x:c>
      <x:c r="B6" s="74" t="str">
        <x:f>IF('THIRD PARTY OCTOBER 2026 (8)'!B39="","",'THIRD PARTY OCTOBER 2026 (8)'!B39)</x:f>
      </x:c>
      <x:c r="C6" s="47" t="str">
        <x:f>IFERROR(B6/B7,"")</x:f>
      </x:c>
    </x:row>
    <x:row r="7" ht="16.5">
      <x:c r="A7" s="43"/>
      <x:c r="B7" s="42" t="str">
        <x:f>IF(SUM(B5:B6)=0,"",SUM(B5:B6))</x:f>
      </x:c>
      <x:c r="C7" s="48" t="str">
        <x:f>IF(SUM(C5:C6)=0,"",SUM(C5:C6))</x:f>
      </x:c>
    </x:row>
  </x:sheetData>
  <x:mergeCells>
    <x:mergeCell ref="A3:C3"/>
    <x:mergeCell ref="A1:T1"/>
  </x:mergeCells>
  <x:pageMargins left="0.7" right="0.7" top="0.75" bottom="0.75" header="0.3" footer="0.3"/>
  <x:drawing xmlns:r="http://schemas.openxmlformats.org/officeDocument/2006/relationships" r:id="Rbc230412452e450f"/>
</x:worksheet>
</file>

<file path=xl/worksheets/sheet27.xml><?xml version="1.0" encoding="utf-8"?>
<x:worksheet xmlns:x="http://schemas.openxmlformats.org/spreadsheetml/2006/main">
  <x:sheetPr>
    <x:tabColor theme="3"/>
  </x:sheetPr>
  <x:sheetFormatPr defaultRowHeight="15"/>
  <x:cols>
    <x:col min="1" max="1" width="23.28515625" style="14" customWidth="1"/>
    <x:col min="2" max="2" width="15.5703125" style="6" customWidth="1"/>
    <x:col min="3" max="3" width="19" customWidth="1"/>
    <x:col min="4" max="4" width="13.85546875" style="20" customWidth="1"/>
    <x:col min="5" max="5" width="20.5703125" style="20" customWidth="1"/>
    <x:col min="6" max="6" width="13.85546875" style="8" customWidth="1"/>
    <x:col min="7" max="7" width="13.85546875" style="9" customWidth="1"/>
    <x:col min="9" max="9" width="17" customWidth="1"/>
    <x:col min="10" max="10" width="13.140625" customWidth="1"/>
    <x:col min="11" max="11" width="9.140625" customWidth="1"/>
  </x:cols>
  <x:sheetData>
    <x:row r="2" ht="18">
      <x:c r="A2" s="16" t="str">
        <x:v>DAILY SALES (6B)  - NOVEMBER 2026</x:v>
      </x:c>
      <x:c r="B2" s="16"/>
      <x:c r="C2" s="16"/>
      <x:c r="D2" s="18"/>
      <x:c r="E2" s="18"/>
      <x:c r="F2" s="16"/>
      <x:c r="G2" s="18"/>
      <x:c r="H2" s="16"/>
      <x:c r="I2" s="16"/>
      <x:c r="J2" s="16"/>
      <x:c r="K2" s="16"/>
      <x:c r="L2" s="16"/>
      <x:c r="M2" s="16"/>
      <x:c r="N2" s="16"/>
      <x:c r="O2" s="16"/>
      <x:c r="P2" s="16"/>
    </x:row>
    <x:row r="3" ht="18">
      <x:c r="B3" s="24"/>
      <x:c r="C3" s="24"/>
      <x:c r="D3" s="18"/>
      <x:c r="E3" s="18"/>
      <x:c r="F3" s="24"/>
      <x:c r="G3" s="24"/>
      <x:c r="H3" s="24"/>
      <x:c r="I3" s="24"/>
      <x:c r="J3" s="24"/>
      <x:c r="K3" s="24"/>
      <x:c r="L3" s="24"/>
      <x:c r="M3" s="24"/>
      <x:c r="N3" s="24"/>
      <x:c r="O3" s="24"/>
      <x:c r="P3" s="24"/>
    </x:row>
    <x:row r="4" ht="16.5">
      <x:c r="B4" s="11"/>
      <x:c r="C4" s="1"/>
      <x:c r="D4" s="19"/>
      <x:c r="E4" s="19"/>
      <x:c r="F4" s="12"/>
      <x:c r="G4" s="13"/>
      <x:c r="H4" s="1"/>
      <x:c r="I4" s="1"/>
      <x:c r="J4" s="1"/>
      <x:c r="K4" s="1"/>
      <x:c r="L4" s="1"/>
      <x:c r="M4" s="1"/>
      <x:c r="N4" s="1"/>
      <x:c r="O4" s="1"/>
      <x:c r="P4" s="1"/>
    </x:row>
    <x:row r="5" ht="16.5">
      <x:c r="A5" s="21" t="s">
        <x:v>21</x:v>
      </x:c>
      <x:c r="B5" s="22" t="s">
        <x:v>22</x:v>
      </x:c>
      <x:c r="C5" s="106" t="s">
        <x:v>23</x:v>
      </x:c>
      <x:c r="D5" s="139" t="s">
        <x:v>24</x:v>
      </x:c>
      <x:c r="E5" s="140"/>
      <x:c r="F5" s="139" t="s">
        <x:v>25</x:v>
      </x:c>
      <x:c r="G5" s="141"/>
      <x:c r="H5" s="2"/>
      <x:c r="I5" s="135" t="s">
        <x:v>26</x:v>
      </x:c>
      <x:c r="J5" s="135"/>
      <x:c r="K5" s="135"/>
      <x:c r="L5" s="1"/>
      <x:c r="M5" s="1"/>
      <x:c r="N5" s="1"/>
      <x:c r="O5" s="1"/>
      <x:c r="P5" s="1"/>
    </x:row>
    <x:row r="6" ht="16.5">
      <x:c r="A6" s="21"/>
      <x:c r="B6" s="22"/>
      <x:c r="C6" s="23"/>
      <x:c r="D6" s="26" t="s">
        <x:v>27</x:v>
      </x:c>
      <x:c r="E6" s="26" t="s">
        <x:v>28</x:v>
      </x:c>
      <x:c r="F6" s="26" t="s">
        <x:v>29</x:v>
      </x:c>
      <x:c r="G6" s="26" t="s">
        <x:v>30</x:v>
      </x:c>
      <x:c r="H6" s="2"/>
      <x:c r="I6" s="17"/>
      <x:c r="J6" s="17"/>
      <x:c r="K6" s="17"/>
      <x:c r="L6" s="1"/>
      <x:c r="M6" s="1"/>
      <x:c r="N6" s="1"/>
      <x:c r="O6" s="1"/>
      <x:c r="P6" s="1"/>
    </x:row>
    <x:row r="7" ht="16.5">
      <x:c r="A7" s="15"/>
      <x:c r="B7" s="7"/>
      <x:c r="C7" s="5"/>
      <x:c r="D7" s="17"/>
      <x:c r="E7" s="17"/>
      <x:c r="F7" s="17"/>
      <x:c r="G7" s="17"/>
      <x:c r="H7" s="2"/>
      <x:c r="I7" s="17"/>
      <x:c r="J7" s="17"/>
      <x:c r="K7" s="17"/>
      <x:c r="L7" s="1"/>
      <x:c r="M7" s="1"/>
      <x:c r="N7" s="1"/>
      <x:c r="O7" s="1"/>
      <x:c r="P7" s="1"/>
    </x:row>
    <x:row r="8" ht="16.5">
      <x:c r="A8" s="171" t="n">
        <x:v>46327</x:v>
      </x:c>
      <x:c r="B8" s="52" t="str">
        <x:f t="shared" ref="B8:B10" si="0">IF(SUM(C8:G8)=0,"",SUM(C8:G8))</x:f>
      </x:c>
      <x:c r="C8" s="53"/>
      <x:c r="D8" s="54"/>
      <x:c r="E8" s="54"/>
      <x:c r="F8" s="53" t="str">
        <x:f>IF('RETAIL &amp; PRINT'!S11="","",'RETAIL &amp; PRINT'!S11)</x:f>
      </x:c>
      <x:c r="G8" s="53" t="str">
        <x:f>IF(F8="","",F8*10%)</x:f>
      </x:c>
      <x:c r="H8" s="1"/>
      <x:c r="I8" s="3" t="str">
        <x:f>C5</x:f>
        <x:v>Footwear</x:v>
      </x:c>
      <x:c r="J8" s="10" t="str">
        <x:f>IF(C39="","",C39)</x:f>
      </x:c>
      <x:c r="K8" s="4" t="str">
        <x:f>IFERROR(C39/B40,"")</x:f>
      </x:c>
      <x:c r="L8" s="1"/>
      <x:c r="M8" s="1"/>
      <x:c r="N8" s="1"/>
      <x:c r="O8" s="1"/>
      <x:c r="P8" s="1"/>
    </x:row>
    <x:row r="9" ht="16.5">
      <x:c r="A9" s="171" t="n">
        <x:v>46328</x:v>
      </x:c>
      <x:c r="B9" s="52" t="str">
        <x:f t="shared" si="0">IF(SUM(C9:G9)=0,"",SUM(C9:G9))</x:f>
      </x:c>
      <x:c r="C9" s="53"/>
      <x:c r="D9" s="54"/>
      <x:c r="E9" s="54"/>
      <x:c r="F9" s="53" t="str">
        <x:f>IF('RETAIL &amp; PRINT'!S12="","",'RETAIL &amp; PRINT'!S12)</x:f>
      </x:c>
      <x:c r="G9" s="53" t="str">
        <x:f t="shared" ref="G9:G37" si="1">IF(F9="","",F9*10%)</x:f>
      </x:c>
      <x:c r="H9" s="1"/>
      <x:c r="I9" s="3" t="str">
        <x:f>D5</x:f>
        <x:v>Deep Cleaning</x:v>
      </x:c>
      <x:c r="J9" s="10" t="str">
        <x:f>IF(D40="","",D40)</x:f>
      </x:c>
      <x:c r="K9" s="4" t="str">
        <x:f>IFERROR(D40/$B$40,"")</x:f>
      </x:c>
      <x:c r="L9" s="1"/>
      <x:c r="M9" s="1"/>
      <x:c r="N9" s="1"/>
      <x:c r="O9" s="1"/>
      <x:c r="P9" s="1"/>
    </x:row>
    <x:row r="10" ht="16.5">
      <x:c r="A10" s="171" t="n">
        <x:v>46329</x:v>
      </x:c>
      <x:c r="B10" s="52" t="str">
        <x:f t="shared" si="0">IF(SUM(C10:G10)=0,"",SUM(C10:G10))</x:f>
      </x:c>
      <x:c r="C10" s="53"/>
      <x:c r="D10" s="54"/>
      <x:c r="E10" s="54"/>
      <x:c r="F10" s="53" t="str">
        <x:f>IF('RETAIL &amp; PRINT'!S13="","",'RETAIL &amp; PRINT'!S13)</x:f>
      </x:c>
      <x:c r="G10" s="53" t="str">
        <x:f t="shared" si="1">IF(F10="","",F10*10%)</x:f>
      </x:c>
      <x:c r="H10" s="1"/>
      <x:c r="I10" s="3" t="str">
        <x:f>F5</x:f>
        <x:v>Print &amp; Retail</x:v>
      </x:c>
      <x:c r="J10" s="10" t="str">
        <x:f>IF(F40="","",F40)</x:f>
      </x:c>
      <x:c r="K10" s="4" t="str">
        <x:f>IFERROR(SUM(F39:G39)/B40,"")</x:f>
      </x:c>
      <x:c r="L10" s="1"/>
      <x:c r="M10" s="1"/>
      <x:c r="N10" s="1"/>
      <x:c r="O10" s="1"/>
      <x:c r="P10" s="1"/>
    </x:row>
    <x:row r="11" ht="16.5">
      <x:c r="A11" s="171" t="n">
        <x:v>46330</x:v>
      </x:c>
      <x:c r="B11" s="52" t="str">
        <x:f>IF(SUM(C11:G11)=0,"",SUM(C11:G11))</x:f>
      </x:c>
      <x:c r="C11" s="53"/>
      <x:c r="D11" s="54"/>
      <x:c r="E11" s="54"/>
      <x:c r="F11" s="53" t="str">
        <x:f>IF('RETAIL &amp; PRINT'!S14="","",'RETAIL &amp; PRINT'!S14)</x:f>
      </x:c>
      <x:c r="G11" s="53" t="str">
        <x:f t="shared" si="1">IF(F11="","",F11*10%)</x:f>
      </x:c>
      <x:c r="H11" s="1"/>
      <x:c r="I11" s="3"/>
      <x:c r="J11" s="10"/>
      <x:c r="K11" s="4"/>
      <x:c r="L11" s="1"/>
      <x:c r="M11" s="1"/>
      <x:c r="N11" s="1"/>
      <x:c r="O11" s="1"/>
      <x:c r="P11" s="1"/>
    </x:row>
    <x:row r="12" ht="16.5">
      <x:c r="A12" s="171" t="n">
        <x:v>46331</x:v>
      </x:c>
      <x:c r="B12" s="52" t="str">
        <x:f t="shared" ref="B12:B35" si="2">IF(SUM(C12:G12)=0,"",SUM(C12:G12))</x:f>
      </x:c>
      <x:c r="C12" s="53"/>
      <x:c r="D12" s="54"/>
      <x:c r="E12" s="54"/>
      <x:c r="F12" s="53" t="str">
        <x:f>IF('RETAIL &amp; PRINT'!S15="","",'RETAIL &amp; PRINT'!S15)</x:f>
      </x:c>
      <x:c r="G12" s="53" t="str">
        <x:f t="shared" si="1">IF(F12="","",F12*10%)</x:f>
      </x:c>
      <x:c r="H12" s="1"/>
      <x:c r="I12" s="3"/>
      <x:c r="J12" s="10" t="str">
        <x:f>IF(SUM(J8:J11)=0,"",SUM(J8:J11))</x:f>
      </x:c>
      <x:c r="K12" s="4" t="str">
        <x:f>IF(SUM(K8:K11)=0,"",SUM(K8:K11))</x:f>
      </x:c>
      <x:c r="L12" s="1"/>
      <x:c r="M12" s="1"/>
      <x:c r="N12" s="1"/>
      <x:c r="O12" s="1"/>
      <x:c r="P12" s="1"/>
    </x:row>
    <x:row r="13" ht="16.5">
      <x:c r="A13" s="171" t="n">
        <x:v>46332</x:v>
      </x:c>
      <x:c r="B13" s="52" t="str">
        <x:f t="shared" si="2">IF(SUM(C13:G13)=0,"",SUM(C13:G13))</x:f>
      </x:c>
      <x:c r="C13" s="53"/>
      <x:c r="D13" s="54"/>
      <x:c r="E13" s="54"/>
      <x:c r="F13" s="53" t="str">
        <x:f>IF('RETAIL &amp; PRINT'!S16="","",'RETAIL &amp; PRINT'!S16)</x:f>
      </x:c>
      <x:c r="G13" s="53" t="str">
        <x:f t="shared" si="1">IF(F13="","",F13*10%)</x:f>
      </x:c>
      <x:c r="H13" s="1"/>
      <x:c r="I13" s="1"/>
      <x:c r="J13" s="1"/>
      <x:c r="K13" s="1"/>
      <x:c r="L13" s="1"/>
      <x:c r="M13" s="1"/>
      <x:c r="N13" s="1"/>
      <x:c r="O13" s="1"/>
      <x:c r="P13" s="1"/>
    </x:row>
    <x:row r="14" ht="16.5">
      <x:c r="A14" s="171" t="n">
        <x:v>46333</x:v>
      </x:c>
      <x:c r="B14" s="52" t="str">
        <x:f t="shared" si="2">IF(SUM(C14:G14)=0,"",SUM(C14:G14))</x:f>
      </x:c>
      <x:c r="C14" s="53"/>
      <x:c r="D14" s="54"/>
      <x:c r="E14" s="54"/>
      <x:c r="F14" s="53" t="str">
        <x:f>IF('RETAIL &amp; PRINT'!S17="","",'RETAIL &amp; PRINT'!S17)</x:f>
      </x:c>
      <x:c r="G14" s="53" t="str">
        <x:f t="shared" si="1">IF(F14="","",F14*10%)</x:f>
      </x:c>
      <x:c r="H14" s="1"/>
      <x:c r="I14" s="1"/>
      <x:c r="J14" s="27"/>
      <x:c r="K14" s="28"/>
      <x:c r="L14" s="1"/>
      <x:c r="M14" s="1"/>
      <x:c r="N14" s="1"/>
      <x:c r="O14" s="1"/>
      <x:c r="P14" s="1"/>
    </x:row>
    <x:row r="15" ht="16.5">
      <x:c r="A15" s="171" t="n">
        <x:v>46334</x:v>
      </x:c>
      <x:c r="B15" s="52" t="str">
        <x:f t="shared" si="2">IF(SUM(C15:G15)=0,"",SUM(C15:G15))</x:f>
      </x:c>
      <x:c r="C15" s="53"/>
      <x:c r="D15" s="54"/>
      <x:c r="E15" s="54"/>
      <x:c r="F15" s="53" t="str">
        <x:f>IF('RETAIL &amp; PRINT'!S18="","",'RETAIL &amp; PRINT'!S18)</x:f>
      </x:c>
      <x:c r="G15" s="53" t="str">
        <x:f t="shared" si="1">IF(F15="","",F15*10%)</x:f>
      </x:c>
      <x:c r="H15" s="1"/>
      <x:c r="I15" s="1"/>
      <x:c r="J15" s="1"/>
      <x:c r="K15" s="1"/>
      <x:c r="L15" s="1"/>
      <x:c r="M15" s="1"/>
      <x:c r="N15" s="1"/>
      <x:c r="O15" s="1"/>
      <x:c r="P15" s="1"/>
    </x:row>
    <x:row r="16" ht="16.5">
      <x:c r="A16" s="171" t="n">
        <x:v>46335</x:v>
      </x:c>
      <x:c r="B16" s="52" t="str">
        <x:f t="shared" si="2">IF(SUM(C16:G16)=0,"",SUM(C16:G16))</x:f>
      </x:c>
      <x:c r="C16" s="53"/>
      <x:c r="D16" s="54"/>
      <x:c r="E16" s="54"/>
      <x:c r="F16" s="53" t="str">
        <x:f>IF('RETAIL &amp; PRINT'!S19="","",'RETAIL &amp; PRINT'!S19)</x:f>
      </x:c>
      <x:c r="G16" s="53" t="str">
        <x:f t="shared" si="1">IF(F16="","",F16*10%)</x:f>
      </x:c>
      <x:c r="H16" s="1"/>
      <x:c r="I16" s="1"/>
      <x:c r="J16" s="1"/>
      <x:c r="K16" s="1"/>
      <x:c r="L16" s="1"/>
      <x:c r="M16" s="1"/>
      <x:c r="N16" s="1"/>
      <x:c r="O16" s="1"/>
      <x:c r="P16" s="1"/>
    </x:row>
    <x:row r="17" ht="16.5">
      <x:c r="A17" s="171" t="n">
        <x:v>46336</x:v>
      </x:c>
      <x:c r="B17" s="52" t="str">
        <x:f t="shared" si="2">IF(SUM(C17:G17)=0,"",SUM(C17:G17))</x:f>
      </x:c>
      <x:c r="C17" s="53"/>
      <x:c r="D17" s="54"/>
      <x:c r="E17" s="54"/>
      <x:c r="F17" s="53" t="str">
        <x:f>IF('RETAIL &amp; PRINT'!S20="","",'RETAIL &amp; PRINT'!S20)</x:f>
      </x:c>
      <x:c r="G17" s="53" t="str">
        <x:f t="shared" si="1">IF(F17="","",F17*10%)</x:f>
      </x:c>
      <x:c r="H17" s="1"/>
      <x:c r="I17" s="1"/>
      <x:c r="J17" s="1"/>
      <x:c r="K17" s="1"/>
      <x:c r="L17" s="1"/>
      <x:c r="M17" s="1"/>
      <x:c r="N17" s="1"/>
      <x:c r="O17" s="1"/>
      <x:c r="P17" s="1"/>
    </x:row>
    <x:row r="18" ht="16.5">
      <x:c r="A18" s="171" t="n">
        <x:v>46337</x:v>
      </x:c>
      <x:c r="B18" s="52" t="str">
        <x:f t="shared" si="2">IF(SUM(C18:G18)=0,"",SUM(C18:G18))</x:f>
      </x:c>
      <x:c r="C18" s="53"/>
      <x:c r="D18" s="54"/>
      <x:c r="E18" s="54"/>
      <x:c r="F18" s="53" t="str">
        <x:f>IF('RETAIL &amp; PRINT'!S21="","",'RETAIL &amp; PRINT'!S21)</x:f>
      </x:c>
      <x:c r="G18" s="53" t="str">
        <x:f t="shared" si="1">IF(F18="","",F18*10%)</x:f>
      </x:c>
      <x:c r="H18" s="1"/>
      <x:c r="I18" s="1"/>
      <x:c r="J18" s="1"/>
      <x:c r="K18" s="1"/>
      <x:c r="L18" s="1"/>
      <x:c r="M18" s="1"/>
      <x:c r="N18" s="1"/>
      <x:c r="O18" s="1"/>
      <x:c r="P18" s="1"/>
    </x:row>
    <x:row r="19" ht="16.5">
      <x:c r="A19" s="171" t="n">
        <x:v>46338</x:v>
      </x:c>
      <x:c r="B19" s="52" t="str">
        <x:f t="shared" si="2">IF(SUM(C19:G19)=0,"",SUM(C19:G19))</x:f>
      </x:c>
      <x:c r="C19" s="53"/>
      <x:c r="D19" s="54"/>
      <x:c r="E19" s="54"/>
      <x:c r="F19" s="53" t="str">
        <x:f>IF('RETAIL &amp; PRINT'!S22="","",'RETAIL &amp; PRINT'!S22)</x:f>
      </x:c>
      <x:c r="G19" s="53" t="str">
        <x:f t="shared" si="1">IF(F19="","",F19*10%)</x:f>
      </x:c>
      <x:c r="H19" s="1"/>
      <x:c r="I19" s="1"/>
      <x:c r="J19" s="1"/>
      <x:c r="K19" s="1"/>
      <x:c r="L19" s="1"/>
      <x:c r="M19" s="1"/>
      <x:c r="N19" s="1"/>
      <x:c r="O19" s="1"/>
      <x:c r="P19" s="1"/>
    </x:row>
    <x:row r="20" ht="16.5">
      <x:c r="A20" s="171" t="n">
        <x:v>46339</x:v>
      </x:c>
      <x:c r="B20" s="52" t="str">
        <x:f t="shared" si="2">IF(SUM(C20:G20)=0,"",SUM(C20:G20))</x:f>
      </x:c>
      <x:c r="C20" s="53"/>
      <x:c r="D20" s="54"/>
      <x:c r="E20" s="54"/>
      <x:c r="F20" s="53" t="str">
        <x:f>IF('RETAIL &amp; PRINT'!S23="","",'RETAIL &amp; PRINT'!S23)</x:f>
      </x:c>
      <x:c r="G20" s="53" t="str">
        <x:f t="shared" si="1">IF(F20="","",F20*10%)</x:f>
      </x:c>
      <x:c r="H20" s="1"/>
      <x:c r="I20" s="1"/>
      <x:c r="J20" s="1"/>
      <x:c r="K20" s="1"/>
      <x:c r="L20" s="1"/>
      <x:c r="M20" s="1"/>
      <x:c r="N20" s="1"/>
      <x:c r="O20" s="1"/>
      <x:c r="P20" s="1"/>
    </x:row>
    <x:row r="21" ht="16.5">
      <x:c r="A21" s="171" t="n">
        <x:v>46340</x:v>
      </x:c>
      <x:c r="B21" s="52" t="str">
        <x:f t="shared" si="2">IF(SUM(C21:G21)=0,"",SUM(C21:G21))</x:f>
      </x:c>
      <x:c r="C21" s="53"/>
      <x:c r="D21" s="54"/>
      <x:c r="E21" s="54"/>
      <x:c r="F21" s="53" t="str">
        <x:f>IF('RETAIL &amp; PRINT'!S24="","",'RETAIL &amp; PRINT'!S24)</x:f>
      </x:c>
      <x:c r="G21" s="53" t="str">
        <x:f>IF(F21="","",F21*10%)</x:f>
      </x:c>
      <x:c r="H21" s="1"/>
      <x:c r="I21" s="1"/>
      <x:c r="J21" s="1"/>
      <x:c r="K21" s="1"/>
      <x:c r="L21" s="1"/>
      <x:c r="M21" s="1"/>
      <x:c r="N21" s="1"/>
      <x:c r="O21" s="1"/>
      <x:c r="P21" s="1"/>
    </x:row>
    <x:row r="22" ht="16.5">
      <x:c r="A22" s="171" t="n">
        <x:v>46341</x:v>
      </x:c>
      <x:c r="B22" s="52" t="str">
        <x:f t="shared" si="2">IF(SUM(C22:G22)=0,"",SUM(C22:G22))</x:f>
      </x:c>
      <x:c r="C22" s="53"/>
      <x:c r="D22" s="54"/>
      <x:c r="E22" s="54"/>
      <x:c r="F22" s="53" t="str">
        <x:f>IF('RETAIL &amp; PRINT'!S25="","",'RETAIL &amp; PRINT'!S25)</x:f>
      </x:c>
      <x:c r="G22" s="53" t="str">
        <x:f t="shared" si="1">IF(F22="","",F22*10%)</x:f>
      </x:c>
      <x:c r="H22" s="1"/>
      <x:c r="I22" s="1"/>
      <x:c r="J22" s="1"/>
      <x:c r="K22" s="1"/>
      <x:c r="L22" s="1"/>
      <x:c r="M22" s="1"/>
      <x:c r="N22" s="1"/>
      <x:c r="O22" s="1"/>
      <x:c r="P22" s="1"/>
    </x:row>
    <x:row r="23" ht="16.5">
      <x:c r="A23" s="171" t="n">
        <x:v>46342</x:v>
      </x:c>
      <x:c r="B23" s="52" t="str">
        <x:f t="shared" si="2">IF(SUM(C23:G23)=0,"",SUM(C23:G23))</x:f>
      </x:c>
      <x:c r="C23" s="53"/>
      <x:c r="D23" s="54"/>
      <x:c r="E23" s="54"/>
      <x:c r="F23" s="53" t="str">
        <x:f>IF('RETAIL &amp; PRINT'!S26="","",'RETAIL &amp; PRINT'!S26)</x:f>
      </x:c>
      <x:c r="G23" s="53" t="str">
        <x:f t="shared" si="1">IF(F23="","",F23*10%)</x:f>
      </x:c>
      <x:c r="H23" s="1"/>
      <x:c r="I23" s="1"/>
      <x:c r="J23" s="1"/>
      <x:c r="K23" s="1"/>
      <x:c r="L23" s="1"/>
      <x:c r="M23" s="1"/>
      <x:c r="N23" s="1"/>
      <x:c r="O23" s="1"/>
      <x:c r="P23" s="1"/>
    </x:row>
    <x:row r="24" ht="16.5">
      <x:c r="A24" s="171" t="n">
        <x:v>46343</x:v>
      </x:c>
      <x:c r="B24" s="52" t="str">
        <x:f t="shared" si="2">IF(SUM(C24:G24)=0,"",SUM(C24:G24))</x:f>
      </x:c>
      <x:c r="C24" s="53"/>
      <x:c r="D24" s="54"/>
      <x:c r="E24" s="54"/>
      <x:c r="F24" s="53" t="str">
        <x:f>IF('RETAIL &amp; PRINT'!S27="","",'RETAIL &amp; PRINT'!S27)</x:f>
      </x:c>
      <x:c r="G24" s="53" t="str">
        <x:f t="shared" si="1">IF(F24="","",F24*10%)</x:f>
      </x:c>
      <x:c r="H24" s="1"/>
      <x:c r="I24" s="1"/>
      <x:c r="J24" s="1"/>
      <x:c r="K24" s="1"/>
      <x:c r="L24" s="1"/>
      <x:c r="M24" s="1"/>
      <x:c r="N24" s="1"/>
      <x:c r="O24" s="1"/>
      <x:c r="P24" s="1"/>
    </x:row>
    <x:row r="25" ht="16.5">
      <x:c r="A25" s="171" t="n">
        <x:v>46344</x:v>
      </x:c>
      <x:c r="B25" s="52" t="str">
        <x:f t="shared" si="2">IF(SUM(C25:G25)=0,"",SUM(C25:G25))</x:f>
      </x:c>
      <x:c r="C25" s="53"/>
      <x:c r="D25" s="54"/>
      <x:c r="E25" s="54"/>
      <x:c r="F25" s="53" t="str">
        <x:f>IF('RETAIL &amp; PRINT'!S28="","",'RETAIL &amp; PRINT'!S28)</x:f>
      </x:c>
      <x:c r="G25" s="53" t="str">
        <x:f t="shared" si="1">IF(F25="","",F25*10%)</x:f>
      </x:c>
      <x:c r="H25" s="1"/>
      <x:c r="I25" s="34"/>
      <x:c r="J25" s="34"/>
      <x:c r="K25" s="34"/>
      <x:c r="L25" s="1"/>
      <x:c r="M25" s="1"/>
      <x:c r="N25" s="1"/>
      <x:c r="O25" s="1"/>
      <x:c r="P25" s="1"/>
    </x:row>
    <x:row r="26" ht="16.5">
      <x:c r="A26" s="171" t="n">
        <x:v>46345</x:v>
      </x:c>
      <x:c r="B26" s="52" t="str">
        <x:f t="shared" si="2">IF(SUM(C26:G26)=0,"",SUM(C26:G26))</x:f>
      </x:c>
      <x:c r="C26" s="53"/>
      <x:c r="D26" s="54"/>
      <x:c r="E26" s="54"/>
      <x:c r="F26" s="53" t="str">
        <x:f>IF('RETAIL &amp; PRINT'!S29="","",'RETAIL &amp; PRINT'!S29)</x:f>
      </x:c>
      <x:c r="G26" s="53" t="str">
        <x:f t="shared" si="1">IF(F26="","",F26*10%)</x:f>
      </x:c>
      <x:c r="H26" s="1"/>
      <x:c r="I26" s="33"/>
      <x:c r="J26" s="33"/>
      <x:c r="K26" s="33"/>
      <x:c r="L26" s="1"/>
      <x:c r="M26" s="1"/>
      <x:c r="N26" s="1"/>
      <x:c r="O26" s="1"/>
      <x:c r="P26" s="1"/>
    </x:row>
    <x:row r="27" ht="16.5">
      <x:c r="A27" s="171" t="n">
        <x:v>46346</x:v>
      </x:c>
      <x:c r="B27" s="52" t="str">
        <x:f t="shared" si="2">IF(SUM(C27:G27)=0,"",SUM(C27:G27))</x:f>
      </x:c>
      <x:c r="C27" s="53"/>
      <x:c r="D27" s="54"/>
      <x:c r="E27" s="54"/>
      <x:c r="F27" s="53" t="str">
        <x:f>IF('RETAIL &amp; PRINT'!S30="","",'RETAIL &amp; PRINT'!S30)</x:f>
      </x:c>
      <x:c r="G27" s="53" t="str">
        <x:f t="shared" si="1">IF(F27="","",F27*10%)</x:f>
      </x:c>
      <x:c r="H27" s="1"/>
      <x:c r="I27" s="34"/>
      <x:c r="J27" s="35"/>
      <x:c r="K27" s="36"/>
      <x:c r="L27" s="1"/>
      <x:c r="M27" s="1"/>
      <x:c r="N27" s="1"/>
      <x:c r="O27" s="1"/>
      <x:c r="P27" s="1"/>
    </x:row>
    <x:row r="28" ht="16.5">
      <x:c r="A28" s="171" t="n">
        <x:v>46347</x:v>
      </x:c>
      <x:c r="B28" s="52" t="str">
        <x:f t="shared" si="2">IF(SUM(C28:G28)=0,"",SUM(C28:G28))</x:f>
      </x:c>
      <x:c r="C28" s="53"/>
      <x:c r="D28" s="54"/>
      <x:c r="E28" s="54"/>
      <x:c r="F28" s="53" t="str">
        <x:f>IF('RETAIL &amp; PRINT'!S31="","",'RETAIL &amp; PRINT'!S31)</x:f>
      </x:c>
      <x:c r="G28" s="53" t="str">
        <x:f t="shared" si="1">IF(F28="","",F28*10%)</x:f>
      </x:c>
      <x:c r="H28" s="1"/>
      <x:c r="I28" s="34"/>
      <x:c r="J28" s="37"/>
      <x:c r="K28" s="36"/>
      <x:c r="L28" s="1"/>
      <x:c r="M28" s="1"/>
      <x:c r="N28" s="1"/>
      <x:c r="O28" s="1"/>
      <x:c r="P28" s="1"/>
    </x:row>
    <x:row r="29" ht="16.5">
      <x:c r="A29" s="171" t="n">
        <x:v>46348</x:v>
      </x:c>
      <x:c r="B29" s="52" t="str">
        <x:f t="shared" si="2">IF(SUM(C29:G29)=0,"",SUM(C29:G29))</x:f>
      </x:c>
      <x:c r="C29" s="53"/>
      <x:c r="D29" s="56"/>
      <x:c r="E29" s="56"/>
      <x:c r="F29" s="53" t="str">
        <x:f>IF('RETAIL &amp; PRINT'!S32="","",'RETAIL &amp; PRINT'!S32)</x:f>
      </x:c>
      <x:c r="G29" s="53" t="str">
        <x:f t="shared" si="1">IF(F29="","",F29*10%)</x:f>
      </x:c>
      <x:c r="H29" s="1"/>
      <x:c r="I29" s="1"/>
      <x:c r="J29" s="29"/>
      <x:c r="K29" s="30"/>
      <x:c r="L29" s="1"/>
      <x:c r="M29" s="1"/>
      <x:c r="N29" s="1"/>
      <x:c r="O29" s="1"/>
      <x:c r="P29" s="1"/>
    </x:row>
    <x:row r="30" ht="16.5">
      <x:c r="A30" s="171" t="n">
        <x:v>46349</x:v>
      </x:c>
      <x:c r="B30" s="52" t="str">
        <x:f t="shared" si="2">IF(SUM(C30:G30)=0,"",SUM(C30:G30))</x:f>
      </x:c>
      <x:c r="C30" s="53"/>
      <x:c r="D30" s="54"/>
      <x:c r="E30" s="54"/>
      <x:c r="F30" s="53" t="str">
        <x:f>IF('RETAIL &amp; PRINT'!S33="","",'RETAIL &amp; PRINT'!S33)</x:f>
      </x:c>
      <x:c r="G30" s="53" t="str">
        <x:f t="shared" si="1">IF(F30="","",F30*10%)</x:f>
      </x:c>
      <x:c r="H30" s="1"/>
      <x:c r="I30" s="1"/>
      <x:c r="J30" s="31"/>
      <x:c r="K30" s="30"/>
      <x:c r="L30" s="1"/>
      <x:c r="M30" s="1"/>
      <x:c r="N30" s="1"/>
      <x:c r="O30" s="1"/>
      <x:c r="P30" s="1"/>
    </x:row>
    <x:row r="31" ht="16.5">
      <x:c r="A31" s="171" t="n">
        <x:v>46350</x:v>
      </x:c>
      <x:c r="B31" s="52" t="str">
        <x:f t="shared" si="2">IF(SUM(C31:G31)=0,"",SUM(C31:G31))</x:f>
      </x:c>
      <x:c r="C31" s="53"/>
      <x:c r="D31" s="54"/>
      <x:c r="E31" s="54"/>
      <x:c r="F31" s="53" t="str">
        <x:f>IF('RETAIL &amp; PRINT'!S34="","",'RETAIL &amp; PRINT'!S34)</x:f>
      </x:c>
      <x:c r="G31" s="53" t="str">
        <x:f t="shared" si="1">IF(F31="","",F31*10%)</x:f>
      </x:c>
      <x:c r="I31" s="1"/>
      <x:c r="J31" s="29"/>
      <x:c r="K31" s="30"/>
      <x:c r="L31" s="1"/>
      <x:c r="M31" s="1"/>
      <x:c r="N31" s="1"/>
      <x:c r="O31" s="1"/>
      <x:c r="P31" s="1"/>
    </x:row>
    <x:row r="32" ht="16.5">
      <x:c r="A32" s="171" t="n">
        <x:v>46351</x:v>
      </x:c>
      <x:c r="B32" s="52" t="str">
        <x:f t="shared" si="2">IF(SUM(C32:G32)=0,"",SUM(C32:G32))</x:f>
      </x:c>
      <x:c r="C32" s="53"/>
      <x:c r="D32" s="54"/>
      <x:c r="E32" s="54"/>
      <x:c r="F32" s="53" t="str">
        <x:f>IF('RETAIL &amp; PRINT'!S35="","",'RETAIL &amp; PRINT'!S35)</x:f>
      </x:c>
      <x:c r="G32" s="53" t="str">
        <x:f t="shared" si="1">IF(F32="","",F32*10%)</x:f>
      </x:c>
      <x:c r="H32" s="1"/>
      <x:c r="I32" s="1"/>
      <x:c r="J32" s="31"/>
      <x:c r="K32" s="30"/>
      <x:c r="L32" s="1"/>
      <x:c r="M32" s="1"/>
      <x:c r="N32" s="1"/>
      <x:c r="O32" s="1"/>
      <x:c r="P32" s="1"/>
    </x:row>
    <x:row r="33" ht="16.5">
      <x:c r="A33" s="171" t="n">
        <x:v>46352</x:v>
      </x:c>
      <x:c r="B33" s="52" t="str">
        <x:f t="shared" si="2">IF(SUM(C33:G33)=0,"",SUM(C33:G33))</x:f>
      </x:c>
      <x:c r="C33" s="53"/>
      <x:c r="D33" s="54"/>
      <x:c r="E33" s="54"/>
      <x:c r="F33" s="53" t="str">
        <x:f>IF('RETAIL &amp; PRINT'!S36="","",'RETAIL &amp; PRINT'!S36)</x:f>
      </x:c>
      <x:c r="G33" s="53" t="str">
        <x:f t="shared" si="1">IF(F33="","",F33*10%)</x:f>
      </x:c>
      <x:c r="H33" s="1"/>
      <x:c r="I33" s="1"/>
      <x:c r="J33" s="32"/>
      <x:c r="K33" s="30"/>
      <x:c r="L33" s="1"/>
      <x:c r="M33" s="1"/>
      <x:c r="N33" s="1"/>
      <x:c r="O33" s="1"/>
      <x:c r="P33" s="1"/>
    </x:row>
    <x:row r="34" ht="16.5">
      <x:c r="A34" s="171" t="n">
        <x:v>46353</x:v>
      </x:c>
      <x:c r="B34" s="52" t="str">
        <x:f t="shared" si="2">IF(SUM(C34:G34)=0,"",SUM(C34:G34))</x:f>
      </x:c>
      <x:c r="C34" s="53"/>
      <x:c r="D34" s="54"/>
      <x:c r="E34" s="54"/>
      <x:c r="F34" s="53" t="str">
        <x:f>IF('RETAIL &amp; PRINT'!S37="","",'RETAIL &amp; PRINT'!S37)</x:f>
      </x:c>
      <x:c r="G34" s="53" t="str">
        <x:f t="shared" si="1">IF(F34="","",F34*10%)</x:f>
      </x:c>
      <x:c r="H34" s="1"/>
      <x:c r="I34" s="1"/>
      <x:c r="J34" s="1"/>
      <x:c r="K34" s="1"/>
      <x:c r="L34" s="1"/>
      <x:c r="M34" s="1"/>
      <x:c r="N34" s="1"/>
      <x:c r="O34" s="1"/>
      <x:c r="P34" s="1"/>
    </x:row>
    <x:row r="35" ht="16.5">
      <x:c r="A35" s="171" t="n">
        <x:v>46354</x:v>
      </x:c>
      <x:c r="B35" s="52" t="str">
        <x:f t="shared" si="2">IF(SUM(C35:G35)=0,"",SUM(C35:G35))</x:f>
      </x:c>
      <x:c r="C35" s="53"/>
      <x:c r="D35" s="54"/>
      <x:c r="E35" s="54"/>
      <x:c r="F35" s="53" t="str">
        <x:f>IF('RETAIL &amp; PRINT'!S38="","",'RETAIL &amp; PRINT'!S38)</x:f>
      </x:c>
      <x:c r="G35" s="53" t="str">
        <x:f t="shared" si="1">IF(F35="","",F35*10%)</x:f>
      </x:c>
      <x:c r="H35" s="1"/>
      <x:c r="I35" s="1"/>
      <x:c r="J35" s="1"/>
      <x:c r="K35" s="1"/>
      <x:c r="L35" s="1"/>
      <x:c r="M35" s="1"/>
      <x:c r="N35" s="1"/>
      <x:c r="O35" s="1"/>
      <x:c r="P35" s="1"/>
    </x:row>
    <x:row r="36" ht="16.5">
      <x:c r="A36" s="171" t="n">
        <x:v>46355</x:v>
      </x:c>
      <x:c r="B36" s="52" t="str">
        <x:f>IF(SUM(C36:G36)=0,"",SUM(C36:G36))</x:f>
      </x:c>
      <x:c r="C36" s="53"/>
      <x:c r="D36" s="54"/>
      <x:c r="E36" s="54"/>
      <x:c r="F36" s="53" t="str">
        <x:f>IF('RETAIL &amp; PRINT'!S39="","",'RETAIL &amp; PRINT'!S39)</x:f>
      </x:c>
      <x:c r="G36" s="53" t="str">
        <x:f t="shared" si="1">IF(F36="","",F36*10%)</x:f>
      </x:c>
      <x:c r="H36" s="1"/>
      <x:c r="I36" s="1"/>
      <x:c r="J36" s="1"/>
      <x:c r="K36" s="1"/>
      <x:c r="L36" s="1"/>
      <x:c r="M36" s="1"/>
      <x:c r="N36" s="1"/>
      <x:c r="O36" s="1"/>
      <x:c r="P36" s="1"/>
    </x:row>
    <x:row r="37" ht="16.5">
      <x:c r="A37" s="171" t="n">
        <x:v>46356</x:v>
      </x:c>
      <x:c r="B37" s="52" t="str">
        <x:f>IF(SUM(C37:G37)=0,"",SUM(C37:G37))</x:f>
      </x:c>
      <x:c r="C37" s="53"/>
      <x:c r="D37" s="54"/>
      <x:c r="E37" s="54"/>
      <x:c r="F37" s="53" t="str">
        <x:f>IF('RETAIL &amp; PRINT'!S40="","",'RETAIL &amp; PRINT'!S40)</x:f>
      </x:c>
      <x:c r="G37" s="53" t="str">
        <x:f t="shared" si="1">IF(F37="","",F37*10%)</x:f>
      </x:c>
      <x:c r="H37" s="1"/>
      <x:c r="I37" s="1"/>
      <x:c r="J37" s="1"/>
      <x:c r="K37" s="1"/>
      <x:c r="L37" s="1"/>
      <x:c r="M37" s="1"/>
      <x:c r="N37" s="1"/>
      <x:c r="O37" s="1"/>
      <x:c r="P37" s="1"/>
    </x:row>
    <x:row r="38" ht="16.5">
      <x:c r="A38" s="171"/>
      <x:c r="B38" s="52" t="str">
        <x:f>IF(SUM(C38:G38)=0,"",SUM(C38:G38))</x:f>
      </x:c>
      <x:c r="C38" s="53"/>
      <x:c r="D38" s="54"/>
      <x:c r="E38" s="54"/>
      <x:c r="F38" s="53" t="str">
        <x:f>IF('RETAIL &amp; PRINT'!S41="","",'RETAIL &amp; PRINT'!S41)</x:f>
      </x:c>
      <x:c r="G38" s="53" t="str">
        <x:f>IF(F38="","",F38*10%)</x:f>
      </x:c>
      <x:c r="H38" s="1"/>
      <x:c r="I38" s="1"/>
      <x:c r="J38" s="1"/>
      <x:c r="K38" s="1"/>
      <x:c r="L38" s="1"/>
      <x:c r="M38" s="1"/>
      <x:c r="N38" s="1"/>
      <x:c r="O38" s="1"/>
      <x:c r="P38" s="1"/>
    </x:row>
    <x:row r="39" ht="16.5">
      <x:c r="A39" s="51"/>
      <x:c r="B39" s="75" t="str">
        <x:f t="shared" ref="B39:G39" si="3">IF(SUM(B8:B38)=0,"",SUM(B8:B38))</x:f>
      </x:c>
      <x:c r="C39" s="75" t="str">
        <x:f t="shared" si="3">IF(SUM(C8:C38)=0,"",SUM(C8:C38))</x:f>
      </x:c>
      <x:c r="D39" s="75" t="str">
        <x:f t="shared" si="3">IF(SUM(D8:D38)=0,"",SUM(D8:D38))</x:f>
      </x:c>
      <x:c r="E39" s="75" t="str">
        <x:f t="shared" si="3">IF(SUM(E8:E38)=0,"",SUM(E8:E38))</x:f>
      </x:c>
      <x:c r="F39" s="75" t="str">
        <x:f t="shared" si="3">IF(SUM(F8:F38)=0,"",SUM(F8:F38))</x:f>
      </x:c>
      <x:c r="G39" s="75" t="str">
        <x:f t="shared" si="3">IF(SUM(G8:G38)=0,"",SUM(G8:G38))</x:f>
      </x:c>
      <x:c r="H39" s="1"/>
      <x:c r="I39" s="27"/>
      <x:c r="J39" s="1"/>
      <x:c r="K39" s="1"/>
      <x:c r="L39" s="1"/>
      <x:c r="M39" s="1"/>
      <x:c r="N39" s="1"/>
      <x:c r="O39" s="1"/>
      <x:c r="P39" s="1"/>
    </x:row>
    <x:row r="40" ht="16.5">
      <x:c r="A40" s="51"/>
      <x:c r="B40" s="66" t="str">
        <x:f>IF(B39="","",B39)</x:f>
      </x:c>
      <x:c r="C40" s="67" t="str">
        <x:f>IF(C39="","",C39)</x:f>
      </x:c>
      <x:c r="D40" s="107" t="str">
        <x:f>IF(SUM(D39:E39)=0,"",SUM(D39:E39))</x:f>
      </x:c>
      <x:c r="E40" s="108"/>
      <x:c r="F40" s="142" t="str">
        <x:f>IF(SUM(F39:G39)=0,"",SUM(F39:G39))</x:f>
      </x:c>
      <x:c r="G40" s="143"/>
      <x:c r="H40" s="1"/>
      <x:c r="I40" s="1"/>
      <x:c r="J40" s="1"/>
      <x:c r="K40" s="1"/>
      <x:c r="L40" s="1"/>
      <x:c r="M40" s="1"/>
      <x:c r="N40" s="1"/>
      <x:c r="O40" s="1"/>
      <x:c r="P40" s="1"/>
    </x:row>
    <x:row r="41" ht="16.5">
      <x:c r="B41" s="11"/>
      <x:c r="C41" s="1"/>
      <x:c r="D41" s="19"/>
      <x:c r="E41" s="19"/>
      <x:c r="F41" s="12"/>
      <x:c r="G41" s="13"/>
      <x:c r="H41" s="1"/>
      <x:c r="I41" s="1"/>
      <x:c r="J41" s="1"/>
      <x:c r="K41" s="1"/>
      <x:c r="L41" s="1"/>
      <x:c r="M41" s="1"/>
      <x:c r="N41" s="1"/>
      <x:c r="O41" s="1"/>
      <x:c r="P41" s="1"/>
    </x:row>
    <x:row r="42" ht="16.5">
      <x:c r="B42" s="11"/>
      <x:c r="C42" s="1"/>
      <x:c r="D42" s="19"/>
      <x:c r="E42" s="19"/>
      <x:c r="F42" s="12"/>
      <x:c r="G42" s="25"/>
      <x:c r="H42" s="1"/>
      <x:c r="I42" s="1"/>
      <x:c r="J42" s="1"/>
      <x:c r="K42" s="1"/>
      <x:c r="L42" s="1"/>
      <x:c r="M42" s="1"/>
      <x:c r="N42" s="1"/>
      <x:c r="O42" s="1"/>
      <x:c r="P42" s="1"/>
    </x:row>
    <x:row r="43" ht="16.5">
      <x:c r="B43" s="11"/>
      <x:c r="C43" s="27"/>
      <x:c r="D43" s="19"/>
      <x:c r="E43" s="19"/>
      <x:c r="F43" s="12"/>
      <x:c r="G43" s="13"/>
      <x:c r="H43" s="1"/>
      <x:c r="I43" s="1"/>
      <x:c r="J43" s="1"/>
      <x:c r="K43" s="1"/>
      <x:c r="L43" s="1"/>
      <x:c r="M43" s="1"/>
      <x:c r="N43" s="1"/>
      <x:c r="O43" s="1"/>
      <x:c r="P43" s="1"/>
    </x:row>
    <x:row r="44" ht="16.5">
      <x:c r="B44" s="11"/>
      <x:c r="C44" s="27"/>
      <x:c r="D44" s="19"/>
      <x:c r="E44" s="19"/>
      <x:c r="F44" s="12"/>
      <x:c r="G44" s="13"/>
      <x:c r="H44" s="1"/>
      <x:c r="I44" s="1"/>
      <x:c r="J44" s="1"/>
      <x:c r="K44" s="1"/>
      <x:c r="L44" s="1"/>
      <x:c r="M44" s="1"/>
      <x:c r="N44" s="1"/>
      <x:c r="O44" s="1"/>
      <x:c r="P44" s="1"/>
    </x:row>
    <x:row r="45" ht="16.5">
      <x:c r="B45" s="11"/>
      <x:c r="C45" s="27"/>
      <x:c r="D45" s="19"/>
      <x:c r="E45" s="19"/>
      <x:c r="F45" s="12"/>
      <x:c r="G45" s="13"/>
      <x:c r="H45" s="1"/>
      <x:c r="I45" s="1"/>
      <x:c r="J45" s="1"/>
      <x:c r="K45" s="1"/>
      <x:c r="L45" s="1"/>
      <x:c r="M45" s="1"/>
      <x:c r="N45" s="1"/>
      <x:c r="O45" s="1"/>
      <x:c r="P45" s="1"/>
    </x:row>
    <x:row r="46" ht="16.5">
      <x:c r="B46" s="11"/>
      <x:c r="C46" s="1"/>
      <x:c r="D46" s="19"/>
      <x:c r="E46" s="19"/>
      <x:c r="F46" s="12"/>
      <x:c r="G46" s="13"/>
      <x:c r="H46" s="1"/>
      <x:c r="I46" s="1"/>
      <x:c r="J46" s="1"/>
      <x:c r="K46" s="1"/>
      <x:c r="L46" s="1"/>
      <x:c r="M46" s="1"/>
      <x:c r="N46" s="1"/>
      <x:c r="O46" s="1"/>
      <x:c r="P46" s="1"/>
    </x:row>
    <x:row r="47" ht="16.5">
      <x:c r="B47" s="11"/>
      <x:c r="C47" s="1"/>
      <x:c r="D47" s="19"/>
      <x:c r="E47" s="19"/>
      <x:c r="F47" s="12"/>
      <x:c r="G47" s="13"/>
      <x:c r="H47" s="1"/>
      <x:c r="I47" s="1"/>
      <x:c r="J47" s="1"/>
      <x:c r="K47" s="1"/>
      <x:c r="L47" s="1"/>
      <x:c r="M47" s="1"/>
      <x:c r="N47" s="1"/>
      <x:c r="O47" s="1"/>
      <x:c r="P47" s="1"/>
    </x:row>
    <x:row r="48" ht="16.5">
      <x:c r="B48" s="11"/>
      <x:c r="C48" s="1"/>
      <x:c r="D48" s="19"/>
      <x:c r="E48" s="19"/>
      <x:c r="F48" s="12"/>
      <x:c r="G48" s="13"/>
      <x:c r="H48" s="1"/>
      <x:c r="I48" s="1"/>
      <x:c r="J48" s="1"/>
      <x:c r="K48" s="1"/>
      <x:c r="L48" s="1"/>
      <x:c r="M48" s="1"/>
      <x:c r="N48" s="1"/>
      <x:c r="O48" s="1"/>
      <x:c r="P48" s="1"/>
    </x:row>
    <x:row r="49" ht="16.5">
      <x:c r="B49" s="11"/>
      <x:c r="C49" s="1"/>
      <x:c r="D49" s="19"/>
      <x:c r="E49" s="19"/>
      <x:c r="F49" s="12"/>
      <x:c r="G49" s="13"/>
      <x:c r="H49" s="1"/>
      <x:c r="I49" s="1"/>
      <x:c r="J49" s="1"/>
      <x:c r="K49" s="1"/>
      <x:c r="L49" s="1"/>
      <x:c r="M49" s="1"/>
      <x:c r="N49" s="1"/>
      <x:c r="O49" s="1"/>
      <x:c r="P49" s="1"/>
    </x:row>
    <x:row r="50" ht="16.5">
      <x:c r="A50"/>
      <x:c r="B50" s="11"/>
      <x:c r="C50" s="1"/>
      <x:c r="D50" s="19"/>
      <x:c r="E50" s="19"/>
      <x:c r="F50" s="12"/>
      <x:c r="G50" s="13"/>
      <x:c r="H50" s="1"/>
      <x:c r="I50" s="1"/>
      <x:c r="J50" s="1"/>
      <x:c r="K50" s="1"/>
      <x:c r="L50" s="1"/>
      <x:c r="M50" s="1"/>
      <x:c r="N50" s="1"/>
      <x:c r="O50" s="1"/>
      <x:c r="P50" s="1"/>
    </x:row>
    <x:row r="51" ht="16.5">
      <x:c r="A51"/>
      <x:c r="B51" s="11"/>
      <x:c r="C51" s="1"/>
      <x:c r="D51" s="19"/>
      <x:c r="E51" s="19"/>
      <x:c r="F51" s="12"/>
      <x:c r="G51" s="13"/>
      <x:c r="H51" s="1"/>
      <x:c r="I51" s="1"/>
      <x:c r="J51" s="1"/>
      <x:c r="K51" s="1"/>
      <x:c r="L51" s="1"/>
      <x:c r="M51" s="1"/>
      <x:c r="N51" s="1"/>
      <x:c r="O51" s="1"/>
      <x:c r="P51" s="1"/>
    </x:row>
    <x:row r="52" ht="16.5">
      <x:c r="A52"/>
      <x:c r="B52" s="11"/>
      <x:c r="C52" s="1"/>
      <x:c r="D52" s="19"/>
      <x:c r="E52" s="19"/>
      <x:c r="F52" s="12"/>
      <x:c r="G52" s="13"/>
      <x:c r="H52" s="1"/>
      <x:c r="I52" s="1"/>
      <x:c r="J52" s="1"/>
      <x:c r="K52" s="1"/>
      <x:c r="L52" s="1"/>
      <x:c r="M52" s="1"/>
      <x:c r="N52" s="1"/>
      <x:c r="O52" s="1"/>
      <x:c r="P52" s="1"/>
    </x:row>
    <x:row r="53" ht="16.5">
      <x:c r="A53"/>
      <x:c r="B53" s="11"/>
      <x:c r="C53" s="1"/>
      <x:c r="D53" s="19"/>
      <x:c r="E53" s="19"/>
      <x:c r="F53" s="12"/>
      <x:c r="G53" s="13"/>
      <x:c r="H53" s="1"/>
      <x:c r="I53" s="1"/>
      <x:c r="J53" s="1"/>
      <x:c r="K53" s="1"/>
      <x:c r="L53" s="1"/>
      <x:c r="M53" s="1"/>
      <x:c r="N53" s="1"/>
      <x:c r="O53" s="1"/>
      <x:c r="P53" s="1"/>
    </x:row>
    <x:row r="54" ht="16.5">
      <x:c r="A54"/>
      <x:c r="B54" s="11"/>
      <x:c r="C54" s="1"/>
      <x:c r="D54" s="19"/>
      <x:c r="E54" s="19"/>
      <x:c r="F54" s="12"/>
      <x:c r="G54" s="13"/>
      <x:c r="H54" s="1"/>
      <x:c r="I54" s="1"/>
      <x:c r="J54" s="1"/>
      <x:c r="K54" s="1"/>
      <x:c r="L54" s="1"/>
      <x:c r="M54" s="1"/>
      <x:c r="N54" s="1"/>
      <x:c r="O54" s="1"/>
      <x:c r="P54" s="1"/>
    </x:row>
    <x:row r="55" ht="16.5">
      <x:c r="A55"/>
      <x:c r="B55" s="11"/>
      <x:c r="C55" s="1"/>
      <x:c r="D55" s="19"/>
      <x:c r="E55" s="19"/>
      <x:c r="F55" s="12"/>
      <x:c r="G55" s="13"/>
      <x:c r="H55" s="1"/>
      <x:c r="I55" s="1"/>
      <x:c r="J55" s="1"/>
      <x:c r="K55" s="1"/>
      <x:c r="L55" s="1"/>
      <x:c r="M55" s="1"/>
      <x:c r="N55" s="1"/>
      <x:c r="O55" s="1"/>
      <x:c r="P55" s="1"/>
    </x:row>
    <x:row r="56" ht="16.5">
      <x:c r="A56"/>
      <x:c r="B56" s="11"/>
      <x:c r="C56" s="1"/>
      <x:c r="D56" s="19"/>
      <x:c r="E56" s="19"/>
      <x:c r="F56" s="12"/>
      <x:c r="G56" s="13"/>
      <x:c r="H56" s="1"/>
      <x:c r="I56" s="1"/>
      <x:c r="J56" s="1"/>
      <x:c r="K56" s="1"/>
      <x:c r="L56" s="1"/>
      <x:c r="M56" s="1"/>
      <x:c r="N56" s="1"/>
      <x:c r="O56" s="1"/>
      <x:c r="P56" s="1"/>
    </x:row>
    <x:row r="57" ht="16.5">
      <x:c r="A57"/>
      <x:c r="B57" s="11"/>
      <x:c r="C57" s="1"/>
      <x:c r="D57" s="19"/>
      <x:c r="E57" s="19"/>
      <x:c r="F57" s="12"/>
      <x:c r="G57" s="13"/>
      <x:c r="H57" s="1"/>
      <x:c r="I57" s="1"/>
      <x:c r="J57" s="1"/>
      <x:c r="K57" s="1"/>
      <x:c r="L57" s="1"/>
      <x:c r="M57" s="1"/>
      <x:c r="N57" s="1"/>
      <x:c r="O57" s="1"/>
      <x:c r="P57" s="1"/>
    </x:row>
    <x:row r="58" ht="16.5">
      <x:c r="A58"/>
      <x:c r="B58" s="11"/>
      <x:c r="C58" s="1"/>
      <x:c r="D58" s="19"/>
      <x:c r="E58" s="19"/>
      <x:c r="F58" s="12"/>
      <x:c r="G58" s="13"/>
      <x:c r="H58" s="1"/>
      <x:c r="I58" s="1"/>
      <x:c r="J58" s="1"/>
      <x:c r="K58" s="1"/>
      <x:c r="L58" s="1"/>
      <x:c r="M58" s="1"/>
      <x:c r="N58" s="1"/>
      <x:c r="O58" s="1"/>
      <x:c r="P58" s="1"/>
    </x:row>
    <x:row r="59" ht="16.5">
      <x:c r="A59"/>
      <x:c r="B59" s="11"/>
      <x:c r="C59" s="1"/>
      <x:c r="D59" s="19"/>
      <x:c r="E59" s="19"/>
      <x:c r="F59" s="12"/>
      <x:c r="G59" s="13"/>
      <x:c r="H59" s="1"/>
      <x:c r="I59" s="1"/>
      <x:c r="J59" s="1"/>
      <x:c r="K59" s="1"/>
      <x:c r="L59" s="1"/>
      <x:c r="M59" s="1"/>
      <x:c r="N59" s="1"/>
      <x:c r="O59" s="1"/>
      <x:c r="P59" s="1"/>
    </x:row>
    <x:row r="60" ht="16.5">
      <x:c r="A60"/>
      <x:c r="B60" s="11"/>
      <x:c r="C60" s="1"/>
      <x:c r="D60" s="19"/>
      <x:c r="E60" s="19"/>
      <x:c r="F60" s="12"/>
      <x:c r="G60" s="13"/>
      <x:c r="H60" s="1"/>
      <x:c r="I60" s="1"/>
      <x:c r="J60" s="1"/>
      <x:c r="K60" s="1"/>
      <x:c r="L60" s="1"/>
      <x:c r="M60" s="1"/>
      <x:c r="N60" s="1"/>
      <x:c r="O60" s="1"/>
      <x:c r="P60" s="1"/>
    </x:row>
    <x:row r="61" ht="16.5">
      <x:c r="A61"/>
      <x:c r="B61" s="11"/>
      <x:c r="C61" s="1"/>
      <x:c r="D61" s="19"/>
      <x:c r="E61" s="19"/>
      <x:c r="F61" s="12"/>
      <x:c r="G61" s="13"/>
      <x:c r="H61" s="1"/>
      <x:c r="I61" s="1"/>
      <x:c r="J61" s="1"/>
      <x:c r="K61" s="1"/>
      <x:c r="L61" s="1"/>
      <x:c r="M61" s="1"/>
      <x:c r="N61" s="1"/>
      <x:c r="O61" s="1"/>
      <x:c r="P61" s="1"/>
    </x:row>
    <x:row r="62" ht="16.5">
      <x:c r="A62"/>
      <x:c r="B62" s="11"/>
      <x:c r="C62" s="1"/>
      <x:c r="D62" s="19"/>
      <x:c r="E62" s="19"/>
      <x:c r="F62" s="12"/>
      <x:c r="G62" s="13"/>
      <x:c r="H62" s="1"/>
      <x:c r="I62" s="1"/>
      <x:c r="J62" s="1"/>
      <x:c r="K62" s="1"/>
      <x:c r="L62" s="1"/>
      <x:c r="M62" s="1"/>
      <x:c r="N62" s="1"/>
      <x:c r="O62" s="1"/>
      <x:c r="P62" s="1"/>
    </x:row>
    <x:row r="63" ht="16.5">
      <x:c r="A63"/>
      <x:c r="B63" s="11"/>
      <x:c r="C63" s="1"/>
      <x:c r="D63" s="19"/>
      <x:c r="E63" s="19"/>
      <x:c r="F63" s="12"/>
      <x:c r="G63" s="13"/>
      <x:c r="H63" s="1"/>
      <x:c r="I63" s="1"/>
      <x:c r="J63" s="1"/>
      <x:c r="K63" s="1"/>
      <x:c r="L63" s="1"/>
      <x:c r="M63" s="1"/>
      <x:c r="N63" s="1"/>
      <x:c r="O63" s="1"/>
      <x:c r="P63" s="1"/>
    </x:row>
    <x:row r="64" ht="16.5">
      <x:c r="A64"/>
      <x:c r="B64" s="11"/>
      <x:c r="C64" s="1"/>
      <x:c r="D64" s="19"/>
      <x:c r="E64" s="19"/>
      <x:c r="F64" s="12"/>
      <x:c r="G64" s="13"/>
      <x:c r="H64" s="1"/>
      <x:c r="I64" s="1"/>
      <x:c r="J64" s="1"/>
      <x:c r="K64" s="1"/>
      <x:c r="L64" s="1"/>
      <x:c r="M64" s="1"/>
      <x:c r="N64" s="1"/>
      <x:c r="O64" s="1"/>
      <x:c r="P64" s="1"/>
    </x:row>
    <x:row r="65" ht="16.5">
      <x:c r="A65"/>
      <x:c r="B65" s="11"/>
      <x:c r="C65" s="1"/>
      <x:c r="D65" s="19"/>
      <x:c r="E65" s="19"/>
      <x:c r="F65" s="12"/>
      <x:c r="G65" s="13"/>
      <x:c r="H65" s="1"/>
      <x:c r="I65" s="1"/>
      <x:c r="J65" s="1"/>
      <x:c r="K65" s="1"/>
      <x:c r="L65" s="1"/>
      <x:c r="M65" s="1"/>
      <x:c r="N65" s="1"/>
      <x:c r="O65" s="1"/>
      <x:c r="P65" s="1"/>
    </x:row>
    <x:row r="66" ht="16.5">
      <x:c r="A66"/>
      <x:c r="B66" s="11"/>
      <x:c r="C66" s="1"/>
      <x:c r="D66" s="19"/>
      <x:c r="E66" s="19"/>
      <x:c r="F66" s="12"/>
      <x:c r="G66" s="13"/>
      <x:c r="H66" s="1"/>
      <x:c r="I66" s="1"/>
      <x:c r="J66" s="1"/>
      <x:c r="K66" s="1"/>
      <x:c r="L66" s="1"/>
      <x:c r="M66" s="1"/>
      <x:c r="N66" s="1"/>
      <x:c r="O66" s="1"/>
      <x:c r="P66" s="1"/>
    </x:row>
    <x:row r="67" ht="16.5">
      <x:c r="A67"/>
      <x:c r="B67" s="11"/>
      <x:c r="C67" s="1"/>
      <x:c r="D67" s="19"/>
      <x:c r="E67" s="19"/>
      <x:c r="F67" s="12"/>
      <x:c r="G67" s="13"/>
      <x:c r="H67" s="1"/>
      <x:c r="I67" s="1"/>
      <x:c r="J67" s="1"/>
      <x:c r="K67" s="1"/>
      <x:c r="L67" s="1"/>
      <x:c r="M67" s="1"/>
      <x:c r="N67" s="1"/>
      <x:c r="O67" s="1"/>
      <x:c r="P67" s="1"/>
    </x:row>
    <x:row r="68" ht="16.5">
      <x:c r="A68"/>
      <x:c r="B68" s="11"/>
      <x:c r="C68" s="1"/>
      <x:c r="D68" s="19"/>
      <x:c r="E68" s="19"/>
      <x:c r="F68" s="12"/>
      <x:c r="G68" s="13"/>
      <x:c r="H68" s="1"/>
      <x:c r="I68" s="1"/>
      <x:c r="J68" s="1"/>
      <x:c r="K68" s="1"/>
      <x:c r="L68" s="1"/>
      <x:c r="M68" s="1"/>
      <x:c r="N68" s="1"/>
      <x:c r="O68" s="1"/>
      <x:c r="P68" s="1"/>
    </x:row>
    <x:row r="69" ht="16.5">
      <x:c r="A69"/>
      <x:c r="B69" s="11"/>
      <x:c r="C69" s="1"/>
      <x:c r="D69" s="19"/>
      <x:c r="E69" s="19"/>
      <x:c r="F69" s="12"/>
      <x:c r="G69" s="13"/>
      <x:c r="H69" s="1"/>
      <x:c r="I69" s="1"/>
      <x:c r="J69" s="1"/>
      <x:c r="K69" s="1"/>
      <x:c r="L69" s="1"/>
      <x:c r="M69" s="1"/>
      <x:c r="N69" s="1"/>
      <x:c r="O69" s="1"/>
      <x:c r="P69" s="1"/>
    </x:row>
    <x:row r="70" ht="16.5">
      <x:c r="A70"/>
      <x:c r="B70" s="11"/>
      <x:c r="C70" s="1"/>
      <x:c r="D70" s="19"/>
      <x:c r="E70" s="19"/>
      <x:c r="F70" s="12"/>
      <x:c r="G70" s="13"/>
      <x:c r="H70" s="1"/>
      <x:c r="I70" s="1"/>
      <x:c r="J70" s="1"/>
      <x:c r="K70" s="1"/>
      <x:c r="L70" s="1"/>
      <x:c r="M70" s="1"/>
      <x:c r="N70" s="1"/>
      <x:c r="O70" s="1"/>
      <x:c r="P70" s="1"/>
    </x:row>
    <x:row r="71" ht="16.5">
      <x:c r="A71"/>
      <x:c r="B71" s="11"/>
      <x:c r="C71" s="1"/>
      <x:c r="D71" s="19"/>
      <x:c r="E71" s="19"/>
      <x:c r="F71" s="12"/>
      <x:c r="G71" s="13"/>
      <x:c r="H71" s="1"/>
      <x:c r="I71" s="1"/>
      <x:c r="J71" s="1"/>
      <x:c r="K71" s="1"/>
      <x:c r="L71" s="1"/>
      <x:c r="M71" s="1"/>
      <x:c r="N71" s="1"/>
      <x:c r="O71" s="1"/>
      <x:c r="P71" s="1"/>
    </x:row>
    <x:row r="72" ht="16.5">
      <x:c r="A72"/>
      <x:c r="B72" s="11"/>
      <x:c r="C72" s="1"/>
      <x:c r="D72" s="19"/>
      <x:c r="E72" s="19"/>
      <x:c r="F72" s="12"/>
      <x:c r="G72" s="13"/>
      <x:c r="H72" s="1"/>
      <x:c r="I72" s="1"/>
      <x:c r="J72" s="1"/>
      <x:c r="K72" s="1"/>
      <x:c r="L72" s="1"/>
      <x:c r="M72" s="1"/>
      <x:c r="N72" s="1"/>
      <x:c r="O72" s="1"/>
      <x:c r="P72" s="1"/>
    </x:row>
    <x:row r="73" ht="16.5">
      <x:c r="A73"/>
      <x:c r="B73" s="11"/>
      <x:c r="C73" s="1"/>
      <x:c r="D73" s="19"/>
      <x:c r="E73" s="19"/>
      <x:c r="F73" s="12"/>
      <x:c r="G73" s="13"/>
      <x:c r="H73" s="1"/>
      <x:c r="I73" s="1"/>
      <x:c r="J73" s="1"/>
      <x:c r="K73" s="1"/>
      <x:c r="L73" s="1"/>
      <x:c r="M73" s="1"/>
      <x:c r="N73" s="1"/>
      <x:c r="O73" s="1"/>
      <x:c r="P73" s="1"/>
    </x:row>
    <x:row r="74" ht="16.5">
      <x:c r="A74"/>
      <x:c r="B74" s="11"/>
      <x:c r="C74" s="1"/>
      <x:c r="D74" s="19"/>
      <x:c r="E74" s="19"/>
      <x:c r="F74" s="12"/>
      <x:c r="G74" s="13"/>
      <x:c r="H74" s="1"/>
      <x:c r="I74" s="1"/>
      <x:c r="J74" s="1"/>
      <x:c r="K74" s="1"/>
      <x:c r="L74" s="1"/>
      <x:c r="M74" s="1"/>
      <x:c r="N74" s="1"/>
      <x:c r="O74" s="1"/>
      <x:c r="P74" s="1"/>
    </x:row>
    <x:row r="75" ht="16.5">
      <x:c r="A75"/>
      <x:c r="B75" s="11"/>
      <x:c r="C75" s="1"/>
      <x:c r="D75" s="19"/>
      <x:c r="E75" s="19"/>
      <x:c r="F75" s="12"/>
      <x:c r="G75" s="13"/>
      <x:c r="H75" s="1"/>
      <x:c r="I75" s="1"/>
      <x:c r="J75" s="1"/>
      <x:c r="K75" s="1"/>
      <x:c r="L75" s="1"/>
      <x:c r="M75" s="1"/>
      <x:c r="N75" s="1"/>
      <x:c r="O75" s="1"/>
      <x:c r="P75" s="1"/>
    </x:row>
    <x:row r="76" ht="16.5">
      <x:c r="A76"/>
      <x:c r="B76" s="11"/>
      <x:c r="C76" s="1"/>
      <x:c r="D76" s="19"/>
      <x:c r="E76" s="19"/>
      <x:c r="F76" s="12"/>
      <x:c r="G76" s="13"/>
      <x:c r="H76" s="1"/>
      <x:c r="I76" s="1"/>
      <x:c r="J76" s="1"/>
      <x:c r="K76" s="1"/>
      <x:c r="L76" s="1"/>
      <x:c r="M76" s="1"/>
      <x:c r="N76" s="1"/>
      <x:c r="O76" s="1"/>
      <x:c r="P76" s="1"/>
    </x:row>
    <x:row r="77" ht="16.5">
      <x:c r="A77"/>
      <x:c r="B77" s="11"/>
      <x:c r="C77" s="1"/>
      <x:c r="D77" s="19"/>
      <x:c r="E77" s="19"/>
      <x:c r="F77" s="12"/>
      <x:c r="G77" s="13"/>
      <x:c r="H77" s="1"/>
      <x:c r="I77" s="1"/>
      <x:c r="J77" s="1"/>
      <x:c r="K77" s="1"/>
      <x:c r="L77" s="1"/>
      <x:c r="M77" s="1"/>
      <x:c r="N77" s="1"/>
      <x:c r="O77" s="1"/>
      <x:c r="P77" s="1"/>
    </x:row>
    <x:row r="78" ht="16.5">
      <x:c r="A78"/>
      <x:c r="B78" s="11"/>
      <x:c r="C78" s="1"/>
      <x:c r="D78" s="19"/>
      <x:c r="E78" s="19"/>
      <x:c r="F78" s="12"/>
      <x:c r="G78" s="13"/>
      <x:c r="H78" s="1"/>
      <x:c r="I78" s="1"/>
      <x:c r="J78" s="1"/>
      <x:c r="K78" s="1"/>
      <x:c r="L78" s="1"/>
      <x:c r="M78" s="1"/>
      <x:c r="N78" s="1"/>
      <x:c r="O78" s="1"/>
      <x:c r="P78" s="1"/>
    </x:row>
  </x:sheetData>
  <x:mergeCells>
    <x:mergeCell ref="D5:E5"/>
    <x:mergeCell ref="F5:G5"/>
    <x:mergeCell ref="I5:K5"/>
    <x:mergeCell ref="F40:G40"/>
  </x:mergeCells>
  <x:pageMargins left="0.7" right="0.7" top="0.75" bottom="0.75" header="0.3" footer="0.3"/>
  <x:drawing xmlns:r="http://schemas.openxmlformats.org/officeDocument/2006/relationships" r:id="R9e7d67d4ca104d16"/>
</x:worksheet>
</file>

<file path=xl/worksheets/sheet28.xml><?xml version="1.0" encoding="utf-8"?>
<x:worksheet xmlns:x="http://schemas.openxmlformats.org/spreadsheetml/2006/main">
  <x:sheetPr>
    <x:tabColor theme="3"/>
  </x:sheetPr>
  <x:sheetFormatPr defaultRowHeight="15"/>
  <x:cols>
    <x:col min="1" max="1" width="13.42578125" style="14" customWidth="1"/>
    <x:col min="2" max="2" width="16.42578125" style="6" customWidth="1"/>
    <x:col min="3" max="3" width="19" customWidth="1"/>
    <x:col min="4" max="5" width="16.85546875" style="20" customWidth="1"/>
    <x:col min="6" max="6" width="14" style="20" customWidth="1"/>
    <x:col min="7" max="7" width="29.5703125" customWidth="1"/>
    <x:col min="8" max="8" width="15.28515625" customWidth="1"/>
    <x:col min="9" max="9" width="13.140625" customWidth="1"/>
  </x:cols>
  <x:sheetData>
    <x:row r="2" ht="27" customHeight="1">
      <x:c r="A2" s="16" t="str">
        <x:v>DAILY SALES  - NOVEMBER 2026 (THIRD PARD)</x:v>
      </x:c>
      <x:c r="B2" s="16"/>
      <x:c r="C2" s="16"/>
      <x:c r="D2" s="18"/>
      <x:c r="E2" s="18"/>
      <x:c r="F2" s="18"/>
      <x:c r="G2" s="20"/>
      <x:c r="H2" s="16"/>
      <x:c r="I2" s="16"/>
      <x:c r="J2" s="16"/>
      <x:c r="K2" s="16"/>
      <x:c r="L2" s="16"/>
      <x:c r="M2" s="16"/>
      <x:c r="N2" s="16"/>
      <x:c r="O2" s="16"/>
      <x:c r="P2" s="16"/>
    </x:row>
    <x:row r="3" ht="18">
      <x:c r="B3" s="24"/>
      <x:c r="C3" s="24"/>
      <x:c r="D3" s="18"/>
      <x:c r="E3" s="18"/>
      <x:c r="F3" s="18"/>
      <x:c r="G3" s="24"/>
      <x:c r="H3" s="24"/>
      <x:c r="I3" s="24"/>
      <x:c r="J3" s="24"/>
      <x:c r="K3" s="24"/>
      <x:c r="L3" s="24"/>
      <x:c r="M3" s="24"/>
      <x:c r="N3" s="24"/>
      <x:c r="O3" s="24"/>
      <x:c r="P3" s="24"/>
    </x:row>
    <x:row r="4" ht="16.5">
      <x:c r="B4" s="11"/>
      <x:c r="C4" s="1"/>
      <x:c r="D4" s="19"/>
      <x:c r="E4" s="19"/>
      <x:c r="F4" s="19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30">
      <x:c r="A5" s="21" t="s">
        <x:v>21</x:v>
      </x:c>
      <x:c r="B5" s="22" t="s">
        <x:v>22</x:v>
      </x:c>
      <x:c r="C5" s="106" t="s">
        <x:v>31</x:v>
      </x:c>
      <x:c r="D5" s="106" t="s">
        <x:v>32</x:v>
      </x:c>
      <x:c r="E5" s="106" t="s">
        <x:v>33</x:v>
      </x:c>
      <x:c r="F5" s="105" t="s">
        <x:v>38</x:v>
      </x:c>
      <x:c r="G5" s="2"/>
      <x:c r="H5" s="135" t="s">
        <x:v>26</x:v>
      </x:c>
      <x:c r="I5" s="135"/>
      <x:c r="J5" s="135"/>
      <x:c r="O5" s="1"/>
      <x:c r="P5" s="1"/>
    </x:row>
    <x:row r="6" ht="16.5">
      <x:c r="A6" s="21"/>
      <x:c r="B6" s="22"/>
      <x:c r="C6" s="23"/>
      <x:c r="D6" s="69"/>
      <x:c r="E6" s="69"/>
      <x:c r="F6" s="69"/>
      <x:c r="G6" s="2"/>
      <x:c r="H6" s="17"/>
      <x:c r="I6" s="17"/>
      <x:c r="J6" s="17"/>
      <x:c r="O6" s="1"/>
      <x:c r="P6" s="1"/>
    </x:row>
    <x:row r="7" ht="16.5">
      <x:c r="A7" s="15"/>
      <x:c r="B7" s="7"/>
      <x:c r="C7" s="5"/>
      <x:c r="D7" s="70"/>
      <x:c r="E7" s="70"/>
      <x:c r="F7" s="70"/>
      <x:c r="G7" s="2"/>
      <x:c r="H7" s="3" t="str">
        <x:f>C5</x:f>
        <x:v>Kitwe</x:v>
      </x:c>
      <x:c r="I7" s="10" t="str">
        <x:f>IF(C39="","",C39)</x:f>
      </x:c>
      <x:c r="J7" s="4" t="str">
        <x:f>IFERROR($C$39/$B$39,"")</x:f>
      </x:c>
      <x:c r="O7" s="1"/>
      <x:c r="P7" s="1"/>
    </x:row>
    <x:row r="8" ht="16.5">
      <x:c r="A8" s="171" t="n">
        <x:v>46327</x:v>
      </x:c>
      <x:c r="B8" s="52" t="str">
        <x:f>IF(SUM(C8:F8)=0,"",SUM(C8:F8))</x:f>
      </x:c>
      <x:c r="C8" s="53"/>
      <x:c r="D8" s="54"/>
      <x:c r="E8" s="54"/>
      <x:c r="F8" s="54"/>
      <x:c r="G8" s="1"/>
      <x:c r="H8" s="3" t="str">
        <x:f>D5</x:f>
        <x:v>Eldo</x:v>
      </x:c>
      <x:c r="I8" s="10" t="str">
        <x:f>IF(D39="","",D39)</x:f>
      </x:c>
      <x:c r="J8" s="4" t="str">
        <x:f>IFERROR($D$39/$B$39,"")</x:f>
      </x:c>
      <x:c r="O8" s="1"/>
      <x:c r="P8" s="1"/>
    </x:row>
    <x:row r="9" ht="16.5">
      <x:c r="A9" s="171" t="n">
        <x:v>46328</x:v>
      </x:c>
      <x:c r="B9" s="52" t="str">
        <x:f t="shared" ref="B9:B37" si="0">IF(SUM(C9:F9)=0,"",SUM(C9:F9))</x:f>
      </x:c>
      <x:c r="C9" s="53"/>
      <x:c r="D9" s="54"/>
      <x:c r="E9" s="54"/>
      <x:c r="F9" s="54"/>
      <x:c r="G9" s="1"/>
      <x:c r="H9" s="3" t="str">
        <x:f>F5</x:f>
        <x:v>Love Laundry</x:v>
      </x:c>
      <x:c r="I9" s="10" t="str">
        <x:f>IF(F39="","",F39)</x:f>
      </x:c>
      <x:c r="J9" s="4" t="str">
        <x:f>IFERROR($F$39/$B$39,"")</x:f>
      </x:c>
      <x:c r="O9" s="1"/>
      <x:c r="P9" s="1"/>
    </x:row>
    <x:row r="10" ht="16.5">
      <x:c r="A10" s="171" t="n">
        <x:v>46329</x:v>
      </x:c>
      <x:c r="B10" s="52" t="str">
        <x:f t="shared" si="0">IF(SUM(C10:F10)=0,"",SUM(C10:F10))</x:f>
      </x:c>
      <x:c r="C10" s="53"/>
      <x:c r="D10" s="54"/>
      <x:c r="E10" s="54"/>
      <x:c r="F10" s="54"/>
      <x:c r="G10" s="1"/>
      <x:c r="H10" s="3"/>
      <x:c r="I10" s="40" t="str">
        <x:f>IF(SUM(I7:I9)=0,"",SUM(I7:I9))</x:f>
      </x:c>
      <x:c r="J10" s="41" t="str">
        <x:f>IF(SUM(J7:J9)=0,"",SUM(J7:J9))</x:f>
      </x:c>
      <x:c r="K10" s="1"/>
      <x:c r="L10" s="1"/>
      <x:c r="M10" s="1"/>
      <x:c r="N10" s="1"/>
      <x:c r="O10" s="1"/>
      <x:c r="P10" s="1"/>
    </x:row>
    <x:row r="11" ht="16.5">
      <x:c r="A11" s="171" t="n">
        <x:v>46330</x:v>
      </x:c>
      <x:c r="B11" s="52" t="str">
        <x:f t="shared" si="0">IF(SUM(C11:F11)=0,"",SUM(C11:F11))</x:f>
      </x:c>
      <x:c r="C11" s="53"/>
      <x:c r="D11" s="54"/>
      <x:c r="E11" s="54"/>
      <x:c r="F11" s="54"/>
      <x:c r="G11" s="1"/>
      <x:c r="H11" s="1"/>
      <x:c r="I11" s="40"/>
      <x:c r="J11" s="41"/>
      <x:c r="K11" s="1"/>
      <x:c r="L11" s="1"/>
      <x:c r="M11" s="1"/>
      <x:c r="N11" s="1"/>
      <x:c r="O11" s="1"/>
      <x:c r="P11" s="1"/>
    </x:row>
    <x:row r="12" ht="16.5">
      <x:c r="A12" s="171" t="n">
        <x:v>46331</x:v>
      </x:c>
      <x:c r="B12" s="52" t="str">
        <x:f t="shared" si="0">IF(SUM(C12:F12)=0,"",SUM(C12:F12))</x:f>
      </x:c>
      <x:c r="C12" s="53"/>
      <x:c r="D12" s="54"/>
      <x:c r="E12" s="54"/>
      <x:c r="F12" s="54"/>
      <x:c r="G12" s="1"/>
      <x:c r="H12" s="1"/>
      <x:c r="I12" s="38"/>
      <x:c r="J12" s="30"/>
      <x:c r="K12" s="1"/>
      <x:c r="L12" s="1"/>
      <x:c r="M12" s="1"/>
      <x:c r="N12" s="1"/>
      <x:c r="O12" s="1"/>
      <x:c r="P12" s="1"/>
    </x:row>
    <x:row r="13" ht="16.5">
      <x:c r="A13" s="171" t="n">
        <x:v>46332</x:v>
      </x:c>
      <x:c r="B13" s="52" t="str">
        <x:f t="shared" si="0">IF(SUM(C13:F13)=0,"",SUM(C13:F13))</x:f>
      </x:c>
      <x:c r="C13" s="53"/>
      <x:c r="D13" s="54"/>
      <x:c r="E13" s="54"/>
      <x:c r="F13" s="54"/>
      <x:c r="G13" s="1"/>
      <x:c r="H13" s="1"/>
      <x:c r="I13" s="1"/>
      <x:c r="J13" s="1"/>
      <x:c r="K13" s="1"/>
      <x:c r="L13" s="1"/>
      <x:c r="M13" s="1"/>
      <x:c r="N13" s="1"/>
      <x:c r="O13" s="1"/>
      <x:c r="P13" s="1"/>
    </x:row>
    <x:row r="14" ht="16.5">
      <x:c r="A14" s="171" t="n">
        <x:v>46333</x:v>
      </x:c>
      <x:c r="B14" s="52" t="str">
        <x:f t="shared" si="0">IF(SUM(C14:F14)=0,"",SUM(C14:F14))</x:f>
      </x:c>
      <x:c r="C14" s="53"/>
      <x:c r="D14" s="54"/>
      <x:c r="E14" s="54"/>
      <x:c r="F14" s="54"/>
      <x:c r="G14" s="1"/>
      <x:c r="H14" s="1"/>
      <x:c r="I14" s="27"/>
      <x:c r="J14" s="28"/>
      <x:c r="K14" s="1"/>
      <x:c r="L14" s="1"/>
      <x:c r="M14" s="1"/>
      <x:c r="N14" s="1"/>
      <x:c r="O14" s="1"/>
      <x:c r="P14" s="1"/>
    </x:row>
    <x:row r="15" ht="16.5">
      <x:c r="A15" s="171" t="n">
        <x:v>46334</x:v>
      </x:c>
      <x:c r="B15" s="52" t="str">
        <x:f t="shared" si="0">IF(SUM(C15:F15)=0,"",SUM(C15:F15))</x:f>
      </x:c>
      <x:c r="C15" s="53"/>
      <x:c r="D15" s="54"/>
      <x:c r="E15" s="54"/>
      <x:c r="F15" s="54"/>
      <x:c r="G15" s="1"/>
      <x:c r="H15" s="1"/>
      <x:c r="I15" s="1"/>
      <x:c r="J15" s="1"/>
      <x:c r="K15" s="1"/>
      <x:c r="L15" s="1"/>
      <x:c r="M15" s="1"/>
      <x:c r="N15" s="1"/>
      <x:c r="O15" s="1"/>
      <x:c r="P15" s="1"/>
    </x:row>
    <x:row r="16" ht="16.5">
      <x:c r="A16" s="171" t="n">
        <x:v>46335</x:v>
      </x:c>
      <x:c r="B16" s="52" t="str">
        <x:f t="shared" si="0">IF(SUM(C16:F16)=0,"",SUM(C16:F16))</x:f>
      </x:c>
      <x:c r="C16" s="53"/>
      <x:c r="D16" s="54"/>
      <x:c r="E16" s="54"/>
      <x:c r="F16" s="54"/>
      <x:c r="G16" s="1"/>
      <x:c r="H16" s="1"/>
      <x:c r="I16" s="1"/>
      <x:c r="J16" s="1"/>
      <x:c r="K16" s="1"/>
      <x:c r="L16" s="1"/>
      <x:c r="M16" s="1"/>
      <x:c r="N16" s="1"/>
      <x:c r="O16" s="1"/>
      <x:c r="P16" s="1"/>
    </x:row>
    <x:row r="17" ht="16.5">
      <x:c r="A17" s="171" t="n">
        <x:v>46336</x:v>
      </x:c>
      <x:c r="B17" s="52" t="str">
        <x:f t="shared" si="0">IF(SUM(C17:F17)=0,"",SUM(C17:F17))</x:f>
      </x:c>
      <x:c r="C17" s="53"/>
      <x:c r="D17" s="54"/>
      <x:c r="E17" s="54"/>
      <x:c r="F17" s="54"/>
      <x:c r="G17" s="1"/>
      <x:c r="H17" s="1"/>
      <x:c r="I17" s="1"/>
      <x:c r="J17" s="1"/>
      <x:c r="K17" s="1"/>
      <x:c r="L17" s="1"/>
      <x:c r="M17" s="1"/>
      <x:c r="N17" s="1"/>
      <x:c r="O17" s="1"/>
      <x:c r="P17" s="1"/>
    </x:row>
    <x:row r="18" ht="16.5">
      <x:c r="A18" s="171" t="n">
        <x:v>46337</x:v>
      </x:c>
      <x:c r="B18" s="52" t="str">
        <x:f t="shared" si="0">IF(SUM(C18:F18)=0,"",SUM(C18:F18))</x:f>
      </x:c>
      <x:c r="C18" s="53"/>
      <x:c r="D18" s="54"/>
      <x:c r="E18" s="54"/>
      <x:c r="F18" s="54"/>
      <x:c r="G18" s="1"/>
      <x:c r="H18" s="1"/>
      <x:c r="I18" s="1"/>
      <x:c r="J18" s="1"/>
      <x:c r="K18" s="1"/>
      <x:c r="L18" s="1"/>
      <x:c r="M18" s="1"/>
      <x:c r="N18" s="1"/>
      <x:c r="O18" s="1"/>
      <x:c r="P18" s="1"/>
    </x:row>
    <x:row r="19" ht="16.5">
      <x:c r="A19" s="171" t="n">
        <x:v>46338</x:v>
      </x:c>
      <x:c r="B19" s="52" t="str">
        <x:f t="shared" si="0">IF(SUM(C19:F19)=0,"",SUM(C19:F19))</x:f>
      </x:c>
      <x:c r="C19" s="53"/>
      <x:c r="D19" s="54"/>
      <x:c r="E19" s="54"/>
      <x:c r="F19" s="54"/>
      <x:c r="G19" s="1"/>
      <x:c r="H19" s="1"/>
      <x:c r="I19" s="1"/>
      <x:c r="J19" s="1"/>
      <x:c r="K19" s="1"/>
      <x:c r="L19" s="1"/>
      <x:c r="M19" s="1"/>
      <x:c r="N19" s="1"/>
      <x:c r="O19" s="1"/>
      <x:c r="P19" s="1"/>
    </x:row>
    <x:row r="20" ht="16.5">
      <x:c r="A20" s="171" t="n">
        <x:v>46339</x:v>
      </x:c>
      <x:c r="B20" s="52" t="str">
        <x:f t="shared" si="0">IF(SUM(C20:F20)=0,"",SUM(C20:F20))</x:f>
      </x:c>
      <x:c r="C20" s="53"/>
      <x:c r="D20" s="54"/>
      <x:c r="E20" s="54"/>
      <x:c r="F20" s="54"/>
      <x:c r="G20" s="1"/>
      <x:c r="H20" s="1"/>
      <x:c r="I20" s="1"/>
      <x:c r="J20" s="1"/>
      <x:c r="K20" s="1"/>
      <x:c r="L20" s="1"/>
      <x:c r="M20" s="1"/>
      <x:c r="N20" s="1"/>
      <x:c r="O20" s="1"/>
      <x:c r="P20" s="1"/>
    </x:row>
    <x:row r="21" ht="16.5">
      <x:c r="A21" s="171" t="n">
        <x:v>46340</x:v>
      </x:c>
      <x:c r="B21" s="52" t="str">
        <x:f t="shared" si="0">IF(SUM(C21:F21)=0,"",SUM(C21:F21))</x:f>
      </x:c>
      <x:c r="C21" s="53"/>
      <x:c r="D21" s="54"/>
      <x:c r="E21" s="54"/>
      <x:c r="F21" s="54"/>
      <x:c r="G21" s="1"/>
      <x:c r="H21" s="1"/>
      <x:c r="I21" s="1"/>
      <x:c r="J21" s="1"/>
      <x:c r="K21" s="1"/>
      <x:c r="L21" s="1"/>
      <x:c r="M21" s="1"/>
      <x:c r="N21" s="1"/>
      <x:c r="O21" s="1"/>
      <x:c r="P21" s="1"/>
    </x:row>
    <x:row r="22" ht="16.5">
      <x:c r="A22" s="171" t="n">
        <x:v>46341</x:v>
      </x:c>
      <x:c r="B22" s="52" t="str">
        <x:f t="shared" si="0">IF(SUM(C22:F22)=0,"",SUM(C22:F22))</x:f>
      </x:c>
      <x:c r="C22" s="53"/>
      <x:c r="D22" s="54"/>
      <x:c r="E22" s="54"/>
      <x:c r="F22" s="54"/>
      <x:c r="G22" s="1"/>
      <x:c r="H22" s="1"/>
      <x:c r="I22" s="1"/>
      <x:c r="J22" s="1"/>
      <x:c r="K22" s="1"/>
      <x:c r="L22" s="1"/>
      <x:c r="M22" s="1"/>
      <x:c r="N22" s="1"/>
      <x:c r="O22" s="1"/>
      <x:c r="P22" s="1"/>
    </x:row>
    <x:row r="23" ht="16.5">
      <x:c r="A23" s="171" t="n">
        <x:v>46342</x:v>
      </x:c>
      <x:c r="B23" s="52" t="str">
        <x:f t="shared" si="0">IF(SUM(C23:F23)=0,"",SUM(C23:F23))</x:f>
      </x:c>
      <x:c r="C23" s="53"/>
      <x:c r="D23" s="54"/>
      <x:c r="E23" s="54"/>
      <x:c r="F23" s="54"/>
      <x:c r="G23" s="1"/>
      <x:c r="H23" s="1"/>
      <x:c r="I23" s="1"/>
      <x:c r="J23" s="1"/>
      <x:c r="K23" s="1"/>
      <x:c r="L23" s="1"/>
      <x:c r="M23" s="1"/>
      <x:c r="N23" s="1"/>
      <x:c r="O23" s="1"/>
      <x:c r="P23" s="1"/>
    </x:row>
    <x:row r="24" ht="16.5">
      <x:c r="A24" s="171" t="n">
        <x:v>46343</x:v>
      </x:c>
      <x:c r="B24" s="52" t="str">
        <x:f t="shared" si="0">IF(SUM(C24:F24)=0,"",SUM(C24:F24))</x:f>
      </x:c>
      <x:c r="C24" s="53"/>
      <x:c r="D24" s="54"/>
      <x:c r="E24" s="54"/>
      <x:c r="F24" s="54"/>
      <x:c r="G24" s="1"/>
      <x:c r="H24" s="1"/>
      <x:c r="I24" s="1"/>
      <x:c r="J24" s="1"/>
      <x:c r="K24" s="1"/>
      <x:c r="L24" s="1"/>
      <x:c r="M24" s="1"/>
      <x:c r="N24" s="1"/>
      <x:c r="O24" s="1"/>
      <x:c r="P24" s="1"/>
    </x:row>
    <x:row r="25" ht="16.5">
      <x:c r="A25" s="171" t="n">
        <x:v>46344</x:v>
      </x:c>
      <x:c r="B25" s="52" t="str">
        <x:f t="shared" si="0">IF(SUM(C25:F25)=0,"",SUM(C25:F25))</x:f>
      </x:c>
      <x:c r="C25" s="53"/>
      <x:c r="D25" s="54"/>
      <x:c r="E25" s="54"/>
      <x:c r="F25" s="54"/>
      <x:c r="G25" s="1"/>
      <x:c r="H25" s="34"/>
      <x:c r="I25" s="34"/>
      <x:c r="J25" s="34"/>
      <x:c r="K25" s="1"/>
      <x:c r="L25" s="1"/>
      <x:c r="M25" s="1"/>
      <x:c r="N25" s="1"/>
      <x:c r="O25" s="1"/>
      <x:c r="P25" s="1"/>
    </x:row>
    <x:row r="26" ht="16.5">
      <x:c r="A26" s="171" t="n">
        <x:v>46345</x:v>
      </x:c>
      <x:c r="B26" s="52" t="str">
        <x:f t="shared" si="0">IF(SUM(C26:F26)=0,"",SUM(C26:F26))</x:f>
      </x:c>
      <x:c r="C26" s="53"/>
      <x:c r="D26" s="54"/>
      <x:c r="E26" s="54"/>
      <x:c r="F26" s="54"/>
      <x:c r="G26" s="1"/>
      <x:c r="H26" s="33"/>
      <x:c r="I26" s="33"/>
      <x:c r="J26" s="33"/>
      <x:c r="K26" s="1"/>
      <x:c r="L26" s="1"/>
      <x:c r="M26" s="1"/>
      <x:c r="N26" s="1"/>
      <x:c r="O26" s="1"/>
      <x:c r="P26" s="1"/>
    </x:row>
    <x:row r="27" ht="16.5">
      <x:c r="A27" s="171" t="n">
        <x:v>46346</x:v>
      </x:c>
      <x:c r="B27" s="52" t="str">
        <x:f t="shared" si="0">IF(SUM(C27:F27)=0,"",SUM(C27:F27))</x:f>
      </x:c>
      <x:c r="C27" s="53"/>
      <x:c r="D27" s="54"/>
      <x:c r="E27" s="54"/>
      <x:c r="F27" s="54"/>
      <x:c r="G27" s="1"/>
      <x:c r="H27" s="34"/>
      <x:c r="I27" s="35"/>
      <x:c r="J27" s="36"/>
      <x:c r="K27" s="1"/>
      <x:c r="L27" s="1"/>
      <x:c r="M27" s="1"/>
      <x:c r="N27" s="1"/>
      <x:c r="O27" s="1"/>
      <x:c r="P27" s="1"/>
    </x:row>
    <x:row r="28" ht="16.5">
      <x:c r="A28" s="171" t="n">
        <x:v>46347</x:v>
      </x:c>
      <x:c r="B28" s="52" t="str">
        <x:f t="shared" si="0">IF(SUM(C28:F28)=0,"",SUM(C28:F28))</x:f>
      </x:c>
      <x:c r="C28" s="53"/>
      <x:c r="D28" s="54"/>
      <x:c r="E28" s="54"/>
      <x:c r="F28" s="54"/>
      <x:c r="G28" s="1"/>
      <x:c r="H28" s="34"/>
      <x:c r="I28" s="37"/>
      <x:c r="J28" s="36"/>
      <x:c r="K28" s="1"/>
      <x:c r="L28" s="1"/>
      <x:c r="M28" s="1"/>
      <x:c r="N28" s="1"/>
      <x:c r="O28" s="1"/>
      <x:c r="P28" s="1"/>
    </x:row>
    <x:row r="29" ht="16.5">
      <x:c r="A29" s="171" t="n">
        <x:v>46348</x:v>
      </x:c>
      <x:c r="B29" s="52" t="str">
        <x:f t="shared" si="0">IF(SUM(C29:F29)=0,"",SUM(C29:F29))</x:f>
      </x:c>
      <x:c r="C29" s="55"/>
      <x:c r="D29" s="56"/>
      <x:c r="E29" s="56"/>
      <x:c r="F29" s="56"/>
      <x:c r="G29" s="1"/>
      <x:c r="H29" s="1"/>
      <x:c r="I29" s="29"/>
      <x:c r="J29" s="30"/>
      <x:c r="K29" s="1"/>
      <x:c r="L29" s="1"/>
      <x:c r="M29" s="1"/>
      <x:c r="N29" s="1"/>
      <x:c r="O29" s="1"/>
      <x:c r="P29" s="1"/>
    </x:row>
    <x:row r="30" ht="16.5">
      <x:c r="A30" s="171" t="n">
        <x:v>46349</x:v>
      </x:c>
      <x:c r="B30" s="52" t="str">
        <x:f t="shared" si="0">IF(SUM(C30:F30)=0,"",SUM(C30:F30))</x:f>
      </x:c>
      <x:c r="C30" s="53"/>
      <x:c r="D30" s="54"/>
      <x:c r="E30" s="54"/>
      <x:c r="F30" s="54"/>
      <x:c r="G30" s="1"/>
      <x:c r="H30" s="1"/>
      <x:c r="I30" s="31"/>
      <x:c r="J30" s="30"/>
      <x:c r="K30" s="1"/>
      <x:c r="L30" s="1"/>
      <x:c r="M30" s="1"/>
      <x:c r="N30" s="1"/>
      <x:c r="O30" s="1"/>
      <x:c r="P30" s="1"/>
    </x:row>
    <x:row r="31" ht="16.5">
      <x:c r="A31" s="171" t="n">
        <x:v>46350</x:v>
      </x:c>
      <x:c r="B31" s="52" t="str">
        <x:f t="shared" si="0">IF(SUM(C31:F31)=0,"",SUM(C31:F31))</x:f>
      </x:c>
      <x:c r="C31" s="53"/>
      <x:c r="D31" s="54"/>
      <x:c r="E31" s="54"/>
      <x:c r="F31" s="54"/>
      <x:c r="G31" s="1"/>
      <x:c r="H31" s="1"/>
      <x:c r="I31" s="29"/>
      <x:c r="J31" s="30"/>
      <x:c r="K31" s="1"/>
      <x:c r="L31" s="1"/>
      <x:c r="M31" s="1"/>
      <x:c r="N31" s="1"/>
      <x:c r="O31" s="1"/>
      <x:c r="P31" s="1"/>
    </x:row>
    <x:row r="32" ht="16.5">
      <x:c r="A32" s="171" t="n">
        <x:v>46351</x:v>
      </x:c>
      <x:c r="B32" s="52" t="str">
        <x:f t="shared" si="0">IF(SUM(C32:F32)=0,"",SUM(C32:F32))</x:f>
      </x:c>
      <x:c r="C32" s="53"/>
      <x:c r="D32" s="54"/>
      <x:c r="E32" s="54"/>
      <x:c r="F32" s="54"/>
      <x:c r="G32" s="1"/>
      <x:c r="H32" s="1"/>
      <x:c r="I32" s="31"/>
      <x:c r="J32" s="30"/>
      <x:c r="K32" s="1"/>
      <x:c r="L32" s="1"/>
      <x:c r="M32" s="1"/>
      <x:c r="N32" s="1"/>
      <x:c r="O32" s="1"/>
      <x:c r="P32" s="1"/>
    </x:row>
    <x:row r="33" ht="16.5">
      <x:c r="A33" s="171" t="n">
        <x:v>46352</x:v>
      </x:c>
      <x:c r="B33" s="52" t="str">
        <x:f t="shared" si="0">IF(SUM(C33:F33)=0,"",SUM(C33:F33))</x:f>
      </x:c>
      <x:c r="C33" s="53"/>
      <x:c r="D33" s="54"/>
      <x:c r="E33" s="54"/>
      <x:c r="F33" s="54"/>
      <x:c r="G33" s="1"/>
      <x:c r="H33" s="1"/>
      <x:c r="I33" s="32"/>
      <x:c r="J33" s="30"/>
      <x:c r="K33" s="1"/>
      <x:c r="L33" s="1"/>
      <x:c r="M33" s="1"/>
      <x:c r="N33" s="1"/>
      <x:c r="O33" s="1"/>
      <x:c r="P33" s="1"/>
    </x:row>
    <x:row r="34" ht="16.5">
      <x:c r="A34" s="171" t="n">
        <x:v>46353</x:v>
      </x:c>
      <x:c r="B34" s="52" t="str">
        <x:f t="shared" si="0">IF(SUM(C34:F34)=0,"",SUM(C34:F34))</x:f>
      </x:c>
      <x:c r="C34" s="53"/>
      <x:c r="D34" s="54"/>
      <x:c r="E34" s="54"/>
      <x:c r="F34" s="54"/>
      <x:c r="G34" s="1"/>
      <x:c r="H34" s="1"/>
      <x:c r="I34" s="1"/>
      <x:c r="J34" s="1"/>
      <x:c r="K34" s="1"/>
      <x:c r="L34" s="1"/>
      <x:c r="M34" s="1"/>
      <x:c r="N34" s="1"/>
      <x:c r="O34" s="1"/>
      <x:c r="P34" s="1"/>
    </x:row>
    <x:row r="35" ht="16.5">
      <x:c r="A35" s="171" t="n">
        <x:v>46354</x:v>
      </x:c>
      <x:c r="B35" s="52" t="str">
        <x:f t="shared" si="0">IF(SUM(C35:F35)=0,"",SUM(C35:F35))</x:f>
      </x:c>
      <x:c r="C35" s="53"/>
      <x:c r="D35" s="54"/>
      <x:c r="E35" s="54"/>
      <x:c r="F35" s="54"/>
      <x:c r="G35" s="1"/>
      <x:c r="H35" s="1"/>
      <x:c r="I35" s="1"/>
      <x:c r="J35" s="1"/>
      <x:c r="K35" s="1"/>
      <x:c r="L35" s="1"/>
      <x:c r="M35" s="1"/>
      <x:c r="N35" s="1"/>
      <x:c r="O35" s="1"/>
      <x:c r="P35" s="1"/>
    </x:row>
    <x:row r="36" ht="16.5">
      <x:c r="A36" s="171" t="n">
        <x:v>46355</x:v>
      </x:c>
      <x:c r="B36" s="52" t="str">
        <x:f t="shared" si="0">IF(SUM(C36:F36)=0,"",SUM(C36:F36))</x:f>
      </x:c>
      <x:c r="C36" s="53"/>
      <x:c r="D36" s="54"/>
      <x:c r="E36" s="54"/>
      <x:c r="F36" s="54"/>
      <x:c r="G36" s="1"/>
      <x:c r="H36" s="1"/>
      <x:c r="I36" s="1"/>
      <x:c r="J36" s="1"/>
      <x:c r="K36" s="1"/>
      <x:c r="L36" s="1"/>
      <x:c r="M36" s="1"/>
      <x:c r="N36" s="1"/>
      <x:c r="O36" s="1"/>
      <x:c r="P36" s="1"/>
    </x:row>
    <x:row r="37" ht="16.5">
      <x:c r="A37" s="171" t="n">
        <x:v>46356</x:v>
      </x:c>
      <x:c r="B37" s="52" t="str">
        <x:f t="shared" si="0">IF(SUM(C37:F37)=0,"",SUM(C37:F37))</x:f>
      </x:c>
      <x:c r="C37" s="53"/>
      <x:c r="D37" s="54"/>
      <x:c r="E37" s="54"/>
      <x:c r="F37" s="54"/>
      <x:c r="G37" s="1"/>
      <x:c r="H37" s="1"/>
      <x:c r="I37" s="1"/>
      <x:c r="J37" s="1"/>
      <x:c r="K37" s="1"/>
      <x:c r="L37" s="1"/>
      <x:c r="M37" s="1"/>
      <x:c r="N37" s="1"/>
      <x:c r="O37" s="1"/>
      <x:c r="P37" s="1"/>
    </x:row>
    <x:row r="38" ht="16.5">
      <x:c r="A38" s="171"/>
      <x:c r="B38" s="52" t="str">
        <x:f>IF(SUM(C38:F38)=0,"",SUM(C38:F38))</x:f>
      </x:c>
      <x:c r="C38" s="53"/>
      <x:c r="D38" s="54"/>
      <x:c r="E38" s="54"/>
      <x:c r="F38" s="54"/>
      <x:c r="G38" s="1"/>
      <x:c r="H38" s="1"/>
      <x:c r="I38" s="1"/>
      <x:c r="J38" s="1"/>
      <x:c r="K38" s="1"/>
      <x:c r="L38" s="1"/>
      <x:c r="M38" s="1"/>
      <x:c r="N38" s="1"/>
      <x:c r="O38" s="1"/>
      <x:c r="P38" s="1"/>
    </x:row>
    <x:row r="39" ht="16.5">
      <x:c r="A39" s="51"/>
      <x:c r="B39" s="57" t="str">
        <x:f>IF(SUM(B8:B38)=0,"",SUM(B8:B38))</x:f>
      </x:c>
      <x:c r="C39" s="58" t="str">
        <x:f>IF(SUM(C8:C38)=0,"",SUM(C8:C38))</x:f>
      </x:c>
      <x:c r="D39" s="59" t="str">
        <x:f>IF(SUM(D8:D38)=0,"",SUM(D8:D38))</x:f>
      </x:c>
      <x:c r="E39" s="59" t="str">
        <x:f t="shared" ref="E39:F39" si="1">IF(SUM(E8:E38)=0,"",SUM(E8:E38))</x:f>
      </x:c>
      <x:c r="F39" s="59" t="str">
        <x:f t="shared" si="1">IF(SUM(F8:F38)=0,"",SUM(F8:F38))</x:f>
      </x:c>
      <x:c r="G39" s="1"/>
      <x:c r="H39" s="1"/>
      <x:c r="I39" s="1"/>
      <x:c r="J39" s="1"/>
      <x:c r="K39" s="1"/>
      <x:c r="L39" s="1"/>
      <x:c r="M39" s="1"/>
      <x:c r="N39" s="1"/>
      <x:c r="O39" s="1"/>
      <x:c r="P39" s="1"/>
    </x:row>
    <x:row r="40" ht="16.5">
      <x:c r="B40" s="11"/>
      <x:c r="C40" s="1"/>
      <x:c r="D40" s="19"/>
      <x:c r="E40" s="19"/>
      <x:c r="F40" s="19"/>
      <x:c r="G40" s="1"/>
      <x:c r="H40" s="1"/>
      <x:c r="I40" s="1" t="s">
        <x:v>41</x:v>
      </x:c>
      <x:c r="J40" s="1"/>
      <x:c r="K40" s="1"/>
      <x:c r="L40" s="1"/>
      <x:c r="M40" s="1"/>
      <x:c r="N40" s="1"/>
      <x:c r="O40" s="1"/>
      <x:c r="P40" s="1"/>
    </x:row>
    <x:row r="41" ht="16.5">
      <x:c r="B41" s="11"/>
      <x:c r="C41" s="1"/>
      <x:c r="D41" s="19"/>
      <x:c r="E41" s="19"/>
      <x:c r="F41" s="19"/>
      <x:c r="G41" s="1"/>
      <x:c r="H41" s="1"/>
      <x:c r="I41" s="1"/>
      <x:c r="J41" s="1"/>
      <x:c r="K41" s="1"/>
      <x:c r="L41" s="1"/>
      <x:c r="M41" s="1"/>
      <x:c r="N41" s="1"/>
      <x:c r="O41" s="1"/>
      <x:c r="P41" s="1"/>
    </x:row>
    <x:row r="42" ht="16.5">
      <x:c r="B42" s="11"/>
      <x:c r="C42" s="27"/>
      <x:c r="D42" s="19"/>
      <x:c r="E42" s="19"/>
      <x:c r="F42" s="19"/>
      <x:c r="G42" s="1"/>
      <x:c r="H42" s="1"/>
      <x:c r="I42" s="1"/>
      <x:c r="J42" s="1"/>
      <x:c r="K42" s="1"/>
      <x:c r="L42" s="1"/>
      <x:c r="M42" s="1"/>
      <x:c r="N42" s="1"/>
      <x:c r="O42" s="1"/>
      <x:c r="P42" s="1"/>
    </x:row>
    <x:row r="43" ht="16.5">
      <x:c r="B43" s="11"/>
      <x:c r="C43" s="27"/>
      <x:c r="D43" s="19"/>
      <x:c r="E43" s="19"/>
      <x:c r="F43" s="19"/>
      <x:c r="G43" s="1"/>
      <x:c r="H43" s="1"/>
      <x:c r="I43" s="1"/>
      <x:c r="J43" s="1"/>
      <x:c r="K43" s="1"/>
      <x:c r="L43" s="1"/>
      <x:c r="M43" s="1"/>
      <x:c r="N43" s="1"/>
      <x:c r="O43" s="1"/>
      <x:c r="P43" s="1"/>
    </x:row>
    <x:row r="44" ht="16.5">
      <x:c r="B44" s="11"/>
      <x:c r="C44" s="27"/>
      <x:c r="D44" s="19"/>
      <x:c r="E44" s="19"/>
      <x:c r="F44" s="19"/>
      <x:c r="G44" s="1"/>
      <x:c r="H44" s="1"/>
      <x:c r="I44" s="1"/>
      <x:c r="J44" s="1"/>
      <x:c r="K44" s="1"/>
      <x:c r="L44" s="1"/>
      <x:c r="M44" s="1"/>
      <x:c r="N44" s="1"/>
      <x:c r="O44" s="1"/>
      <x:c r="P44" s="1"/>
    </x:row>
    <x:row r="45" ht="16.5">
      <x:c r="B45" s="11"/>
      <x:c r="C45" s="1"/>
      <x:c r="D45" s="19"/>
      <x:c r="E45" s="19"/>
      <x:c r="F45" s="19"/>
      <x:c r="G45" s="1"/>
      <x:c r="H45" s="1"/>
      <x:c r="I45" s="1"/>
      <x:c r="J45" s="1"/>
      <x:c r="K45" s="1"/>
      <x:c r="L45" s="1"/>
      <x:c r="M45" s="1"/>
      <x:c r="N45" s="1"/>
      <x:c r="O45" s="1"/>
      <x:c r="P45" s="1"/>
    </x:row>
    <x:row r="46" ht="16.5">
      <x:c r="B46" s="11"/>
      <x:c r="C46" s="1"/>
      <x:c r="D46" s="19"/>
      <x:c r="E46" s="19"/>
      <x:c r="F46" s="19"/>
      <x:c r="G46" s="1"/>
      <x:c r="H46" s="1"/>
      <x:c r="I46" s="1"/>
      <x:c r="J46" s="1"/>
      <x:c r="K46" s="1"/>
      <x:c r="L46" s="1"/>
      <x:c r="M46" s="1"/>
      <x:c r="N46" s="1"/>
      <x:c r="O46" s="1"/>
      <x:c r="P46" s="1"/>
    </x:row>
    <x:row r="47" ht="16.5">
      <x:c r="B47" s="11"/>
      <x:c r="C47" s="1"/>
      <x:c r="D47" s="19"/>
      <x:c r="E47" s="19"/>
      <x:c r="F47" s="19"/>
      <x:c r="G47" s="1"/>
      <x:c r="H47" s="1"/>
      <x:c r="I47" s="1"/>
      <x:c r="J47" s="1"/>
      <x:c r="K47" s="1"/>
      <x:c r="L47" s="1"/>
      <x:c r="M47" s="1"/>
      <x:c r="N47" s="1"/>
      <x:c r="O47" s="1"/>
      <x:c r="P47" s="1"/>
    </x:row>
    <x:row r="48" ht="16.5">
      <x:c r="B48" s="11"/>
      <x:c r="C48" s="1"/>
      <x:c r="D48" s="19"/>
      <x:c r="E48" s="19"/>
      <x:c r="F48" s="19"/>
      <x:c r="G48" s="1"/>
      <x:c r="H48" s="1"/>
      <x:c r="I48" s="1"/>
      <x:c r="J48" s="1"/>
      <x:c r="K48" s="1"/>
      <x:c r="L48" s="1"/>
      <x:c r="M48" s="1"/>
      <x:c r="N48" s="1"/>
      <x:c r="O48" s="1"/>
      <x:c r="P48" s="1"/>
    </x:row>
    <x:row r="49" ht="16.5">
      <x:c r="A49"/>
      <x:c r="B49" s="11"/>
      <x:c r="C49" s="1"/>
      <x:c r="D49" s="19"/>
      <x:c r="E49" s="19"/>
      <x:c r="F49" s="19"/>
      <x:c r="G49" s="1"/>
      <x:c r="H49" s="1"/>
      <x:c r="I49" s="1"/>
      <x:c r="J49" s="1"/>
      <x:c r="K49" s="1"/>
      <x:c r="L49" s="1"/>
      <x:c r="M49" s="1"/>
      <x:c r="N49" s="1"/>
      <x:c r="O49" s="1"/>
      <x:c r="P49" s="1"/>
    </x:row>
    <x:row r="50" ht="16.5">
      <x:c r="A50"/>
      <x:c r="B50" s="11"/>
      <x:c r="C50" s="1"/>
      <x:c r="D50" s="19"/>
      <x:c r="E50" s="19"/>
      <x:c r="F50" s="19"/>
      <x:c r="G50" s="1"/>
      <x:c r="H50" s="1"/>
      <x:c r="I50" s="1"/>
      <x:c r="J50" s="1"/>
      <x:c r="K50" s="1"/>
      <x:c r="L50" s="1"/>
      <x:c r="M50" s="1"/>
      <x:c r="N50" s="1"/>
      <x:c r="O50" s="1"/>
      <x:c r="P50" s="1"/>
    </x:row>
    <x:row r="51" ht="16.5">
      <x:c r="A51"/>
      <x:c r="B51" s="11"/>
      <x:c r="C51" s="1"/>
      <x:c r="D51" s="19"/>
      <x:c r="E51" s="19"/>
      <x:c r="F51" s="19"/>
      <x:c r="G51" s="1"/>
      <x:c r="H51" s="1"/>
      <x:c r="I51" s="1"/>
      <x:c r="J51" s="1"/>
      <x:c r="K51" s="1"/>
      <x:c r="L51" s="1"/>
      <x:c r="M51" s="1"/>
      <x:c r="N51" s="1"/>
      <x:c r="O51" s="1"/>
      <x:c r="P51" s="1"/>
    </x:row>
    <x:row r="52" ht="16.5">
      <x:c r="A52"/>
      <x:c r="B52" s="11"/>
      <x:c r="C52" s="1"/>
      <x:c r="D52" s="19"/>
      <x:c r="E52" s="19"/>
      <x:c r="F52" s="19"/>
      <x:c r="G52" s="1"/>
      <x:c r="H52" s="1"/>
      <x:c r="I52" s="1"/>
      <x:c r="J52" s="1"/>
      <x:c r="K52" s="1"/>
      <x:c r="L52" s="1"/>
      <x:c r="M52" s="1"/>
      <x:c r="N52" s="1"/>
      <x:c r="O52" s="1"/>
      <x:c r="P52" s="1"/>
    </x:row>
    <x:row r="53" ht="16.5">
      <x:c r="A53"/>
      <x:c r="B53" s="11"/>
      <x:c r="C53" s="1"/>
      <x:c r="D53" s="19"/>
      <x:c r="E53" s="19"/>
      <x:c r="F53" s="19"/>
      <x:c r="G53" s="1"/>
      <x:c r="H53" s="1"/>
      <x:c r="I53" s="1"/>
      <x:c r="J53" s="1"/>
      <x:c r="K53" s="1"/>
      <x:c r="L53" s="1"/>
      <x:c r="M53" s="1"/>
      <x:c r="N53" s="1"/>
      <x:c r="O53" s="1"/>
      <x:c r="P53" s="1"/>
    </x:row>
    <x:row r="54" ht="16.5">
      <x:c r="A54"/>
      <x:c r="B54" s="11"/>
      <x:c r="C54" s="1"/>
      <x:c r="D54" s="19"/>
      <x:c r="E54" s="19"/>
      <x:c r="F54" s="19"/>
      <x:c r="G54" s="1"/>
      <x:c r="H54" s="1"/>
      <x:c r="I54" s="1"/>
      <x:c r="J54" s="1"/>
      <x:c r="K54" s="1"/>
      <x:c r="L54" s="1"/>
      <x:c r="M54" s="1"/>
      <x:c r="N54" s="1"/>
      <x:c r="O54" s="1"/>
      <x:c r="P54" s="1"/>
    </x:row>
    <x:row r="55" ht="16.5">
      <x:c r="A55"/>
      <x:c r="B55" s="11"/>
      <x:c r="C55" s="1"/>
      <x:c r="D55" s="19"/>
      <x:c r="E55" s="19"/>
      <x:c r="F55" s="19"/>
      <x:c r="G55" s="1"/>
      <x:c r="H55" s="1"/>
      <x:c r="I55" s="1"/>
      <x:c r="J55" s="1"/>
      <x:c r="K55" s="1"/>
      <x:c r="L55" s="1"/>
      <x:c r="M55" s="1"/>
      <x:c r="N55" s="1"/>
      <x:c r="O55" s="1"/>
      <x:c r="P55" s="1"/>
    </x:row>
    <x:row r="56" ht="16.5">
      <x:c r="A56"/>
      <x:c r="B56" s="11"/>
      <x:c r="C56" s="1"/>
      <x:c r="D56" s="19"/>
      <x:c r="E56" s="19"/>
      <x:c r="F56" s="19"/>
      <x:c r="G56" s="1"/>
      <x:c r="H56" s="1"/>
      <x:c r="I56" s="1"/>
      <x:c r="J56" s="1"/>
      <x:c r="K56" s="1"/>
      <x:c r="L56" s="1"/>
      <x:c r="M56" s="1"/>
      <x:c r="N56" s="1"/>
      <x:c r="O56" s="1"/>
      <x:c r="P56" s="1"/>
    </x:row>
    <x:row r="57" ht="16.5">
      <x:c r="A57"/>
      <x:c r="B57" s="11"/>
      <x:c r="C57" s="1"/>
      <x:c r="D57" s="19"/>
      <x:c r="E57" s="19"/>
      <x:c r="F57" s="19"/>
      <x:c r="G57" s="1"/>
      <x:c r="H57" s="1"/>
      <x:c r="I57" s="1"/>
      <x:c r="J57" s="1"/>
      <x:c r="K57" s="1"/>
      <x:c r="L57" s="1"/>
      <x:c r="M57" s="1"/>
      <x:c r="N57" s="1"/>
      <x:c r="O57" s="1"/>
      <x:c r="P57" s="1"/>
    </x:row>
    <x:row r="58" ht="16.5">
      <x:c r="A58"/>
      <x:c r="B58" s="11"/>
      <x:c r="C58" s="1"/>
      <x:c r="D58" s="19"/>
      <x:c r="E58" s="19"/>
      <x:c r="F58" s="19"/>
      <x:c r="G58" s="1"/>
      <x:c r="H58" s="1"/>
      <x:c r="I58" s="1"/>
      <x:c r="J58" s="1"/>
      <x:c r="K58" s="1"/>
      <x:c r="L58" s="1"/>
      <x:c r="M58" s="1"/>
      <x:c r="N58" s="1"/>
      <x:c r="O58" s="1"/>
      <x:c r="P58" s="1"/>
    </x:row>
    <x:row r="59" ht="16.5">
      <x:c r="A59"/>
      <x:c r="B59" s="11"/>
      <x:c r="C59" s="1"/>
      <x:c r="D59" s="19"/>
      <x:c r="E59" s="19"/>
      <x:c r="F59" s="19"/>
      <x:c r="G59" s="1"/>
      <x:c r="H59" s="1"/>
      <x:c r="I59" s="1"/>
      <x:c r="J59" s="1"/>
      <x:c r="K59" s="1"/>
      <x:c r="L59" s="1"/>
      <x:c r="M59" s="1"/>
      <x:c r="N59" s="1"/>
      <x:c r="O59" s="1"/>
      <x:c r="P59" s="1"/>
    </x:row>
    <x:row r="60" ht="16.5">
      <x:c r="A60"/>
      <x:c r="B60" s="11"/>
      <x:c r="C60" s="1"/>
      <x:c r="D60" s="19"/>
      <x:c r="E60" s="19"/>
      <x:c r="F60" s="19"/>
      <x:c r="G60" s="1"/>
      <x:c r="H60" s="1"/>
      <x:c r="I60" s="1"/>
      <x:c r="J60" s="1"/>
      <x:c r="K60" s="1"/>
      <x:c r="L60" s="1"/>
      <x:c r="M60" s="1"/>
      <x:c r="N60" s="1"/>
      <x:c r="O60" s="1"/>
      <x:c r="P60" s="1"/>
    </x:row>
    <x:row r="61" ht="16.5">
      <x:c r="A61"/>
      <x:c r="B61" s="11"/>
      <x:c r="C61" s="1"/>
      <x:c r="D61" s="19"/>
      <x:c r="E61" s="19"/>
      <x:c r="F61" s="19"/>
      <x:c r="G61" s="1"/>
      <x:c r="H61" s="1"/>
      <x:c r="I61" s="1"/>
      <x:c r="J61" s="1"/>
      <x:c r="K61" s="1"/>
      <x:c r="L61" s="1"/>
      <x:c r="M61" s="1"/>
      <x:c r="N61" s="1"/>
      <x:c r="O61" s="1"/>
      <x:c r="P61" s="1"/>
    </x:row>
    <x:row r="62" ht="16.5">
      <x:c r="A62"/>
      <x:c r="B62" s="11"/>
      <x:c r="C62" s="1"/>
      <x:c r="D62" s="19"/>
      <x:c r="E62" s="19"/>
      <x:c r="F62" s="19"/>
      <x:c r="G62" s="1"/>
      <x:c r="H62" s="1"/>
      <x:c r="I62" s="1"/>
      <x:c r="J62" s="1"/>
      <x:c r="K62" s="1"/>
      <x:c r="L62" s="1"/>
      <x:c r="M62" s="1"/>
      <x:c r="N62" s="1"/>
      <x:c r="O62" s="1"/>
      <x:c r="P62" s="1"/>
    </x:row>
    <x:row r="63" ht="16.5">
      <x:c r="A63"/>
      <x:c r="B63" s="11"/>
      <x:c r="C63" s="1"/>
      <x:c r="D63" s="19"/>
      <x:c r="E63" s="19"/>
      <x:c r="F63" s="19"/>
      <x:c r="G63" s="1"/>
      <x:c r="H63" s="1"/>
      <x:c r="I63" s="1"/>
      <x:c r="J63" s="1"/>
      <x:c r="K63" s="1"/>
      <x:c r="L63" s="1"/>
      <x:c r="M63" s="1"/>
      <x:c r="N63" s="1"/>
      <x:c r="O63" s="1"/>
      <x:c r="P63" s="1"/>
    </x:row>
    <x:row r="64" ht="16.5">
      <x:c r="A64"/>
      <x:c r="B64" s="11"/>
      <x:c r="C64" s="1"/>
      <x:c r="D64" s="19"/>
      <x:c r="E64" s="19"/>
      <x:c r="F64" s="19"/>
      <x:c r="G64" s="1"/>
      <x:c r="H64" s="1"/>
      <x:c r="I64" s="1"/>
      <x:c r="J64" s="1"/>
      <x:c r="K64" s="1"/>
      <x:c r="L64" s="1"/>
      <x:c r="M64" s="1"/>
      <x:c r="N64" s="1"/>
      <x:c r="O64" s="1"/>
      <x:c r="P64" s="1"/>
    </x:row>
    <x:row r="65" ht="16.5">
      <x:c r="A65"/>
      <x:c r="B65" s="11"/>
      <x:c r="C65" s="1"/>
      <x:c r="D65" s="19"/>
      <x:c r="E65" s="19"/>
      <x:c r="F65" s="19"/>
      <x:c r="G65" s="1"/>
      <x:c r="H65" s="1"/>
      <x:c r="I65" s="1"/>
      <x:c r="J65" s="1"/>
      <x:c r="K65" s="1"/>
      <x:c r="L65" s="1"/>
      <x:c r="M65" s="1"/>
      <x:c r="N65" s="1"/>
      <x:c r="O65" s="1"/>
      <x:c r="P65" s="1"/>
    </x:row>
    <x:row r="66" ht="16.5">
      <x:c r="A66"/>
      <x:c r="B66" s="11"/>
      <x:c r="C66" s="1"/>
      <x:c r="D66" s="19"/>
      <x:c r="E66" s="19"/>
      <x:c r="F66" s="19"/>
      <x:c r="G66" s="1"/>
      <x:c r="H66" s="1"/>
      <x:c r="I66" s="1"/>
      <x:c r="J66" s="1"/>
      <x:c r="K66" s="1"/>
      <x:c r="L66" s="1"/>
      <x:c r="M66" s="1"/>
      <x:c r="N66" s="1"/>
      <x:c r="O66" s="1"/>
      <x:c r="P66" s="1"/>
    </x:row>
    <x:row r="67" ht="16.5">
      <x:c r="A67"/>
      <x:c r="B67" s="11"/>
      <x:c r="C67" s="1"/>
      <x:c r="D67" s="19"/>
      <x:c r="E67" s="19"/>
      <x:c r="F67" s="19"/>
      <x:c r="G67" s="1"/>
      <x:c r="H67" s="1"/>
      <x:c r="I67" s="1"/>
      <x:c r="J67" s="1"/>
      <x:c r="K67" s="1"/>
      <x:c r="L67" s="1"/>
      <x:c r="M67" s="1"/>
      <x:c r="N67" s="1"/>
      <x:c r="O67" s="1"/>
      <x:c r="P67" s="1"/>
    </x:row>
    <x:row r="68" ht="16.5">
      <x:c r="A68"/>
      <x:c r="B68" s="11"/>
      <x:c r="C68" s="1"/>
      <x:c r="D68" s="19"/>
      <x:c r="E68" s="19"/>
      <x:c r="F68" s="19"/>
      <x:c r="G68" s="1"/>
      <x:c r="H68" s="1"/>
      <x:c r="I68" s="1"/>
      <x:c r="J68" s="1"/>
      <x:c r="K68" s="1"/>
      <x:c r="L68" s="1"/>
      <x:c r="M68" s="1"/>
      <x:c r="N68" s="1"/>
      <x:c r="O68" s="1"/>
      <x:c r="P68" s="1"/>
    </x:row>
    <x:row r="69" ht="16.5">
      <x:c r="A69"/>
      <x:c r="B69" s="11"/>
      <x:c r="C69" s="1"/>
      <x:c r="D69" s="19"/>
      <x:c r="E69" s="19"/>
      <x:c r="F69" s="19"/>
      <x:c r="G69" s="1"/>
      <x:c r="H69" s="1"/>
      <x:c r="I69" s="1"/>
      <x:c r="J69" s="1"/>
      <x:c r="K69" s="1"/>
      <x:c r="L69" s="1"/>
      <x:c r="M69" s="1"/>
      <x:c r="N69" s="1"/>
      <x:c r="O69" s="1"/>
      <x:c r="P69" s="1"/>
    </x:row>
    <x:row r="70" ht="16.5">
      <x:c r="A70"/>
      <x:c r="B70" s="11"/>
      <x:c r="C70" s="1"/>
      <x:c r="D70" s="19"/>
      <x:c r="E70" s="19"/>
      <x:c r="F70" s="19"/>
      <x:c r="G70" s="1"/>
      <x:c r="H70" s="1"/>
      <x:c r="I70" s="1"/>
      <x:c r="J70" s="1"/>
      <x:c r="K70" s="1"/>
      <x:c r="L70" s="1"/>
      <x:c r="M70" s="1"/>
      <x:c r="N70" s="1"/>
      <x:c r="O70" s="1"/>
      <x:c r="P70" s="1"/>
    </x:row>
    <x:row r="71" ht="16.5">
      <x:c r="A71"/>
      <x:c r="B71" s="11"/>
      <x:c r="C71" s="1"/>
      <x:c r="D71" s="19"/>
      <x:c r="E71" s="19"/>
      <x:c r="F71" s="19"/>
      <x:c r="G71" s="1"/>
      <x:c r="H71" s="1"/>
      <x:c r="I71" s="1"/>
      <x:c r="J71" s="1"/>
      <x:c r="K71" s="1"/>
      <x:c r="L71" s="1"/>
      <x:c r="M71" s="1"/>
      <x:c r="N71" s="1"/>
      <x:c r="O71" s="1"/>
      <x:c r="P71" s="1"/>
    </x:row>
    <x:row r="72" ht="16.5">
      <x:c r="A72"/>
      <x:c r="B72" s="11"/>
      <x:c r="C72" s="1"/>
      <x:c r="D72" s="19"/>
      <x:c r="E72" s="19"/>
      <x:c r="F72" s="19"/>
      <x:c r="G72" s="1"/>
      <x:c r="H72" s="1"/>
      <x:c r="I72" s="1"/>
      <x:c r="J72" s="1"/>
      <x:c r="K72" s="1"/>
      <x:c r="L72" s="1"/>
      <x:c r="M72" s="1"/>
      <x:c r="N72" s="1"/>
      <x:c r="O72" s="1"/>
      <x:c r="P72" s="1"/>
    </x:row>
    <x:row r="73" ht="16.5">
      <x:c r="A73"/>
      <x:c r="B73" s="11"/>
      <x:c r="C73" s="1"/>
      <x:c r="D73" s="19"/>
      <x:c r="E73" s="19"/>
      <x:c r="F73" s="19"/>
      <x:c r="G73" s="1"/>
      <x:c r="H73" s="1"/>
      <x:c r="I73" s="1"/>
      <x:c r="J73" s="1"/>
      <x:c r="K73" s="1"/>
      <x:c r="L73" s="1"/>
      <x:c r="M73" s="1"/>
      <x:c r="N73" s="1"/>
      <x:c r="O73" s="1"/>
      <x:c r="P73" s="1"/>
    </x:row>
    <x:row r="74" ht="16.5">
      <x:c r="A74"/>
      <x:c r="B74" s="11"/>
      <x:c r="C74" s="1"/>
      <x:c r="D74" s="19"/>
      <x:c r="E74" s="19"/>
      <x:c r="F74" s="19"/>
      <x:c r="G74" s="1"/>
      <x:c r="H74" s="1"/>
      <x:c r="I74" s="1"/>
      <x:c r="J74" s="1"/>
      <x:c r="K74" s="1"/>
      <x:c r="L74" s="1"/>
      <x:c r="M74" s="1"/>
      <x:c r="N74" s="1"/>
      <x:c r="O74" s="1"/>
      <x:c r="P74" s="1"/>
    </x:row>
    <x:row r="75" ht="16.5">
      <x:c r="A75"/>
      <x:c r="B75" s="11"/>
      <x:c r="C75" s="1"/>
      <x:c r="D75" s="19"/>
      <x:c r="E75" s="19"/>
      <x:c r="F75" s="19"/>
      <x:c r="G75" s="1"/>
      <x:c r="H75" s="1"/>
      <x:c r="I75" s="1"/>
      <x:c r="J75" s="1"/>
      <x:c r="K75" s="1"/>
      <x:c r="L75" s="1"/>
      <x:c r="M75" s="1"/>
      <x:c r="N75" s="1"/>
      <x:c r="O75" s="1"/>
      <x:c r="P75" s="1"/>
    </x:row>
    <x:row r="76" ht="16.5">
      <x:c r="A76"/>
      <x:c r="B76" s="11"/>
      <x:c r="C76" s="1"/>
      <x:c r="D76" s="19"/>
      <x:c r="E76" s="19"/>
      <x:c r="F76" s="19"/>
      <x:c r="G76" s="1"/>
      <x:c r="H76" s="1"/>
      <x:c r="I76" s="1"/>
      <x:c r="J76" s="1"/>
      <x:c r="K76" s="1"/>
      <x:c r="L76" s="1"/>
      <x:c r="M76" s="1"/>
      <x:c r="N76" s="1"/>
      <x:c r="O76" s="1"/>
      <x:c r="P76" s="1"/>
    </x:row>
    <x:row r="77" ht="16.5">
      <x:c r="A77"/>
      <x:c r="B77" s="11"/>
      <x:c r="C77" s="1"/>
      <x:c r="D77" s="19"/>
      <x:c r="E77" s="19"/>
      <x:c r="F77" s="19"/>
      <x:c r="G77" s="1"/>
      <x:c r="H77" s="1"/>
      <x:c r="I77" s="1"/>
      <x:c r="J77" s="1"/>
      <x:c r="K77" s="1"/>
      <x:c r="L77" s="1"/>
      <x:c r="M77" s="1"/>
      <x:c r="N77" s="1"/>
      <x:c r="O77" s="1"/>
      <x:c r="P77" s="1"/>
    </x:row>
  </x:sheetData>
  <x:mergeCells>
    <x:mergeCell ref="H5:J5"/>
  </x:mergeCells>
  <x:pageMargins left="0.7" right="0.7" top="0.75" bottom="0.75" header="0.3" footer="0.3"/>
  <x:drawing xmlns:r="http://schemas.openxmlformats.org/officeDocument/2006/relationships" r:id="Rc0ec807f377a4421"/>
</x:worksheet>
</file>

<file path=xl/worksheets/sheet29.xml><?xml version="1.0" encoding="utf-8"?>
<x:worksheet xmlns:x="http://schemas.openxmlformats.org/spreadsheetml/2006/main">
  <x:sheetPr>
    <x:tabColor theme="3"/>
  </x:sheetPr>
  <x:sheetFormatPr defaultRowHeight="15"/>
  <x:cols>
    <x:col min="1" max="1" width="16.42578125" customWidth="1"/>
    <x:col min="2" max="2" width="15.140625" customWidth="1"/>
  </x:cols>
  <x:sheetData>
    <x:row r="1" ht="58.5" customHeight="1">
      <x:c r="A1" s="149" t="s">
        <x:v>34</x:v>
      </x:c>
      <x:c r="B1" s="149"/>
      <x:c r="C1" s="149"/>
      <x:c r="D1" s="149"/>
      <x:c r="E1" s="149"/>
      <x:c r="F1" s="149"/>
      <x:c r="G1" s="149"/>
      <x:c r="H1" s="149"/>
      <x:c r="I1" s="149"/>
      <x:c r="J1" s="149"/>
      <x:c r="K1" s="149"/>
      <x:c r="L1" s="149"/>
      <x:c r="M1" s="149"/>
      <x:c r="N1" s="149"/>
      <x:c r="O1" s="149"/>
      <x:c r="P1" s="149"/>
      <x:c r="Q1" s="149"/>
      <x:c r="R1" s="149"/>
      <x:c r="S1" s="149"/>
      <x:c r="T1" s="149"/>
    </x:row>
    <x:row r="2" ht="42" customHeight="1">
      <x:c r="A2"/>
      <x:c r="B2"/>
      <x:c r="C2"/>
    </x:row>
    <x:row r="3" ht="22.5" customHeight="1">
      <x:c r="A3" s="144" t="s">
        <x:v>35</x:v>
      </x:c>
      <x:c r="B3" s="145"/>
      <x:c r="C3" s="146"/>
    </x:row>
    <x:row r="4" ht="17.25">
      <x:c r="A4" s="44"/>
      <x:c r="B4" s="45"/>
      <x:c r="C4" s="46"/>
    </x:row>
    <x:row r="5" ht="17.25">
      <x:c r="A5" s="71" t="s">
        <x:v>36</x:v>
      </x:c>
      <x:c r="B5" s="72" t="str">
        <x:f>IF('SHOP NOVEMBER 2026 (9)'!B40="","",'SHOP NOVEMBER 2026 (9)'!B40)</x:f>
      </x:c>
      <x:c r="C5" s="47" t="str">
        <x:f>IFERROR(B5/B7,"")</x:f>
      </x:c>
    </x:row>
    <x:row r="6" ht="18">
      <x:c r="A6" s="73" t="s">
        <x:v>37</x:v>
      </x:c>
      <x:c r="B6" s="74" t="str">
        <x:f>IF('THIRD PARTY NOVEMBER 2026 (9)'!B39="","",'THIRD PARTY NOVEMBER 2026 (9)'!B39)</x:f>
      </x:c>
      <x:c r="C6" s="47" t="str">
        <x:f>IFERROR(B6/B7,"")</x:f>
      </x:c>
    </x:row>
    <x:row r="7" ht="16.5">
      <x:c r="A7" s="43"/>
      <x:c r="B7" s="42" t="str">
        <x:f>IF(SUM(B5:B6)=0,"",SUM(B5:B6))</x:f>
      </x:c>
      <x:c r="C7" s="48" t="str">
        <x:f>IF(SUM(C5:C6)=0,"",SUM(C5:C6))</x:f>
      </x:c>
    </x:row>
  </x:sheetData>
  <x:mergeCells>
    <x:mergeCell ref="A3:C3"/>
    <x:mergeCell ref="A1:T1"/>
  </x:mergeCells>
  <x:pageMargins left="0.7" right="0.7" top="0.75" bottom="0.75" header="0.3" footer="0.3"/>
  <x:drawing xmlns:r="http://schemas.openxmlformats.org/officeDocument/2006/relationships" r:id="Rc0348faa52fb4753"/>
</x:worksheet>
</file>

<file path=xl/worksheets/sheet30.xml><?xml version="1.0" encoding="utf-8"?>
<x:worksheet xmlns:x="http://schemas.openxmlformats.org/spreadsheetml/2006/main">
  <x:sheetPr>
    <x:tabColor rgb="FFC00000"/>
  </x:sheetPr>
  <x:sheetFormatPr defaultRowHeight="15"/>
  <x:cols>
    <x:col min="1" max="1" width="23.28515625" style="14" customWidth="1"/>
    <x:col min="2" max="2" width="15.5703125" style="6" customWidth="1"/>
    <x:col min="3" max="3" width="19" customWidth="1"/>
    <x:col min="4" max="4" width="13.85546875" style="20" customWidth="1"/>
    <x:col min="5" max="5" width="20.5703125" style="20" customWidth="1"/>
    <x:col min="6" max="6" width="13.85546875" style="8" customWidth="1"/>
    <x:col min="7" max="7" width="13.85546875" style="9" customWidth="1"/>
    <x:col min="9" max="9" width="17" customWidth="1"/>
    <x:col min="10" max="10" width="13.140625" customWidth="1"/>
    <x:col min="11" max="11" width="9.140625" customWidth="1"/>
  </x:cols>
  <x:sheetData>
    <x:row r="2" ht="18">
      <x:c r="A2" s="16" t="str">
        <x:v>DAILY SALES (6B)  - DECEMBER 2026</x:v>
      </x:c>
      <x:c r="B2" s="16"/>
      <x:c r="C2" s="16"/>
      <x:c r="D2" s="18"/>
      <x:c r="E2" s="18"/>
      <x:c r="F2" s="16"/>
      <x:c r="G2" s="18"/>
      <x:c r="H2" s="16"/>
      <x:c r="I2" s="16"/>
      <x:c r="J2" s="16"/>
      <x:c r="K2" s="16"/>
      <x:c r="L2" s="16"/>
      <x:c r="M2" s="16"/>
      <x:c r="N2" s="16"/>
      <x:c r="O2" s="16"/>
      <x:c r="P2" s="16"/>
    </x:row>
    <x:row r="3" ht="18">
      <x:c r="B3" s="24"/>
      <x:c r="C3" s="24"/>
      <x:c r="D3" s="18"/>
      <x:c r="E3" s="18"/>
      <x:c r="F3" s="24"/>
      <x:c r="G3" s="24"/>
      <x:c r="H3" s="24"/>
      <x:c r="I3" s="24"/>
      <x:c r="J3" s="24"/>
      <x:c r="K3" s="24"/>
      <x:c r="L3" s="24"/>
      <x:c r="M3" s="24"/>
      <x:c r="N3" s="24"/>
      <x:c r="O3" s="24"/>
      <x:c r="P3" s="24"/>
    </x:row>
    <x:row r="4" ht="16.5">
      <x:c r="B4" s="11"/>
      <x:c r="C4" s="1"/>
      <x:c r="D4" s="19"/>
      <x:c r="E4" s="19"/>
      <x:c r="F4" s="12"/>
      <x:c r="G4" s="13"/>
      <x:c r="H4" s="1"/>
      <x:c r="I4" s="1"/>
      <x:c r="J4" s="1"/>
      <x:c r="K4" s="1"/>
      <x:c r="L4" s="1"/>
      <x:c r="M4" s="1"/>
      <x:c r="N4" s="1"/>
      <x:c r="O4" s="1"/>
      <x:c r="P4" s="1"/>
    </x:row>
    <x:row r="5" ht="16.5">
      <x:c r="A5" s="21" t="s">
        <x:v>21</x:v>
      </x:c>
      <x:c r="B5" s="22" t="s">
        <x:v>22</x:v>
      </x:c>
      <x:c r="C5" s="106" t="s">
        <x:v>23</x:v>
      </x:c>
      <x:c r="D5" s="139" t="s">
        <x:v>24</x:v>
      </x:c>
      <x:c r="E5" s="140"/>
      <x:c r="F5" s="139" t="s">
        <x:v>25</x:v>
      </x:c>
      <x:c r="G5" s="141"/>
      <x:c r="H5" s="2"/>
      <x:c r="I5" s="135" t="s">
        <x:v>26</x:v>
      </x:c>
      <x:c r="J5" s="135"/>
      <x:c r="K5" s="135"/>
      <x:c r="L5" s="1"/>
      <x:c r="M5" s="1"/>
      <x:c r="N5" s="1"/>
      <x:c r="O5" s="1"/>
      <x:c r="P5" s="1"/>
    </x:row>
    <x:row r="6" ht="16.5">
      <x:c r="A6" s="21"/>
      <x:c r="B6" s="22"/>
      <x:c r="C6" s="23"/>
      <x:c r="D6" s="26" t="s">
        <x:v>27</x:v>
      </x:c>
      <x:c r="E6" s="26" t="s">
        <x:v>28</x:v>
      </x:c>
      <x:c r="F6" s="26" t="s">
        <x:v>29</x:v>
      </x:c>
      <x:c r="G6" s="26" t="s">
        <x:v>30</x:v>
      </x:c>
      <x:c r="H6" s="2"/>
      <x:c r="I6" s="17"/>
      <x:c r="J6" s="17"/>
      <x:c r="K6" s="17"/>
      <x:c r="L6" s="1"/>
      <x:c r="M6" s="1"/>
      <x:c r="N6" s="1"/>
      <x:c r="O6" s="1"/>
      <x:c r="P6" s="1"/>
    </x:row>
    <x:row r="7" ht="16.5">
      <x:c r="A7" s="15"/>
      <x:c r="B7" s="7"/>
      <x:c r="C7" s="5"/>
      <x:c r="D7" s="17"/>
      <x:c r="E7" s="17"/>
      <x:c r="F7" s="17"/>
      <x:c r="G7" s="17"/>
      <x:c r="H7" s="2"/>
      <x:c r="I7" s="17"/>
      <x:c r="J7" s="17"/>
      <x:c r="K7" s="17"/>
      <x:c r="L7" s="1"/>
      <x:c r="M7" s="1"/>
      <x:c r="N7" s="1"/>
      <x:c r="O7" s="1"/>
      <x:c r="P7" s="1"/>
    </x:row>
    <x:row r="8" ht="16.5">
      <x:c r="A8" s="171" t="n">
        <x:v>46357</x:v>
      </x:c>
      <x:c r="B8" s="52" t="str">
        <x:f t="shared" ref="B8:B35" si="0">IF(SUM(C8:G8)=0,"",SUM(C8:G8))</x:f>
      </x:c>
      <x:c r="C8" s="53"/>
      <x:c r="D8" s="54"/>
      <x:c r="E8" s="54"/>
      <x:c r="F8" s="53" t="str">
        <x:f>IF('RETAIL &amp; PRINT'!U11="","",'RETAIL &amp; PRINT'!U11)</x:f>
      </x:c>
      <x:c r="G8" s="53" t="str">
        <x:f>IF(F8="","",F8*10%)</x:f>
      </x:c>
      <x:c r="H8" s="1"/>
      <x:c r="I8" s="3" t="str">
        <x:f>C5</x:f>
        <x:v>Footwear</x:v>
      </x:c>
      <x:c r="J8" s="10" t="str">
        <x:f>IF(C39="","",C39)</x:f>
      </x:c>
      <x:c r="K8" s="4" t="str">
        <x:f>IFERROR(C39/B40,"")</x:f>
      </x:c>
      <x:c r="L8" s="1"/>
      <x:c r="M8" s="1"/>
      <x:c r="N8" s="1"/>
      <x:c r="O8" s="1"/>
      <x:c r="P8" s="1"/>
    </x:row>
    <x:row r="9" ht="16.5">
      <x:c r="A9" s="171" t="n">
        <x:v>46358</x:v>
      </x:c>
      <x:c r="B9" s="52" t="str">
        <x:f t="shared" si="0">IF(SUM(C9:G9)=0,"",SUM(C9:G9))</x:f>
      </x:c>
      <x:c r="C9" s="53"/>
      <x:c r="D9" s="54"/>
      <x:c r="E9" s="54"/>
      <x:c r="F9" s="53" t="str">
        <x:f>IF('RETAIL &amp; PRINT'!U12="","",'RETAIL &amp; PRINT'!U12)</x:f>
      </x:c>
      <x:c r="G9" s="53" t="str">
        <x:f t="shared" ref="G9:G38" si="1">IF(F9="","",F9*10%)</x:f>
      </x:c>
      <x:c r="H9" s="1"/>
      <x:c r="I9" s="3" t="str">
        <x:f>D5</x:f>
        <x:v>Deep Cleaning</x:v>
      </x:c>
      <x:c r="J9" s="10" t="str">
        <x:f>IF(D40="","",D40)</x:f>
      </x:c>
      <x:c r="K9" s="4" t="str">
        <x:f>IFERROR(D40/$B$40,"")</x:f>
      </x:c>
      <x:c r="L9" s="1"/>
      <x:c r="M9" s="1"/>
      <x:c r="N9" s="1"/>
      <x:c r="O9" s="1"/>
      <x:c r="P9" s="1"/>
    </x:row>
    <x:row r="10" ht="16.5">
      <x:c r="A10" s="171" t="n">
        <x:v>46359</x:v>
      </x:c>
      <x:c r="B10" s="52" t="str">
        <x:f t="shared" si="0">IF(SUM(C10:G10)=0,"",SUM(C10:G10))</x:f>
      </x:c>
      <x:c r="C10" s="53"/>
      <x:c r="D10" s="54"/>
      <x:c r="E10" s="54"/>
      <x:c r="F10" s="53" t="str">
        <x:f>IF('RETAIL &amp; PRINT'!U13="","",'RETAIL &amp; PRINT'!U13)</x:f>
      </x:c>
      <x:c r="G10" s="53" t="str">
        <x:f t="shared" si="1">IF(F10="","",F10*10%)</x:f>
      </x:c>
      <x:c r="H10" s="1"/>
      <x:c r="I10" s="3" t="str">
        <x:f>F5</x:f>
        <x:v>Print &amp; Retail</x:v>
      </x:c>
      <x:c r="J10" s="10" t="str">
        <x:f>IF(F40="","",F40)</x:f>
      </x:c>
      <x:c r="K10" s="4" t="str">
        <x:f>IFERROR(SUM(F39:G39)/B40,"")</x:f>
      </x:c>
      <x:c r="L10" s="1"/>
      <x:c r="M10" s="1"/>
      <x:c r="N10" s="1"/>
      <x:c r="O10" s="1"/>
      <x:c r="P10" s="1"/>
    </x:row>
    <x:row r="11" ht="16.5">
      <x:c r="A11" s="171" t="n">
        <x:v>46360</x:v>
      </x:c>
      <x:c r="B11" s="52" t="str">
        <x:f t="shared" si="0">IF(SUM(C11:G11)=0,"",SUM(C11:G11))</x:f>
      </x:c>
      <x:c r="C11" s="53"/>
      <x:c r="D11" s="54"/>
      <x:c r="E11" s="54"/>
      <x:c r="F11" s="53" t="str">
        <x:f>IF('RETAIL &amp; PRINT'!U14="","",'RETAIL &amp; PRINT'!U14)</x:f>
      </x:c>
      <x:c r="G11" s="53" t="str">
        <x:f t="shared" si="1">IF(F11="","",F11*10%)</x:f>
      </x:c>
      <x:c r="H11" s="1"/>
      <x:c r="I11" s="3"/>
      <x:c r="J11" s="10"/>
      <x:c r="K11" s="4"/>
      <x:c r="L11" s="1"/>
      <x:c r="M11" s="1"/>
      <x:c r="N11" s="1"/>
      <x:c r="O11" s="1"/>
      <x:c r="P11" s="1"/>
    </x:row>
    <x:row r="12" ht="16.5">
      <x:c r="A12" s="171" t="n">
        <x:v>46361</x:v>
      </x:c>
      <x:c r="B12" s="52" t="str">
        <x:f t="shared" si="0">IF(SUM(C12:G12)=0,"",SUM(C12:G12))</x:f>
      </x:c>
      <x:c r="C12" s="53"/>
      <x:c r="D12" s="54"/>
      <x:c r="E12" s="54"/>
      <x:c r="F12" s="53" t="str">
        <x:f>IF('RETAIL &amp; PRINT'!U15="","",'RETAIL &amp; PRINT'!U15)</x:f>
      </x:c>
      <x:c r="G12" s="53" t="str">
        <x:f>IF(F12="","",F12*10%)</x:f>
      </x:c>
      <x:c r="H12" s="1"/>
      <x:c r="I12" s="3"/>
      <x:c r="J12" s="10" t="str">
        <x:f>IF(SUM(J8:J11)=0,"",SUM(J8:J11))</x:f>
      </x:c>
      <x:c r="K12" s="4" t="str">
        <x:f>IF(SUM(K8:K11)=0,"",SUM(K8:K11))</x:f>
      </x:c>
      <x:c r="L12" s="1"/>
      <x:c r="M12" s="1"/>
      <x:c r="N12" s="1"/>
      <x:c r="O12" s="1"/>
      <x:c r="P12" s="1"/>
    </x:row>
    <x:row r="13" ht="16.5">
      <x:c r="A13" s="171" t="n">
        <x:v>46362</x:v>
      </x:c>
      <x:c r="B13" s="52" t="str">
        <x:f t="shared" si="0">IF(SUM(C13:G13)=0,"",SUM(C13:G13))</x:f>
      </x:c>
      <x:c r="C13" s="53"/>
      <x:c r="D13" s="54"/>
      <x:c r="E13" s="54"/>
      <x:c r="F13" s="53" t="str">
        <x:f>IF('RETAIL &amp; PRINT'!U16="","",'RETAIL &amp; PRINT'!U16)</x:f>
      </x:c>
      <x:c r="G13" s="53" t="str">
        <x:f t="shared" si="1">IF(F13="","",F13*10%)</x:f>
      </x:c>
      <x:c r="H13" s="1"/>
      <x:c r="I13" s="1"/>
      <x:c r="J13" s="1"/>
      <x:c r="K13" s="1"/>
      <x:c r="L13" s="1"/>
      <x:c r="M13" s="1"/>
      <x:c r="N13" s="1"/>
      <x:c r="O13" s="1"/>
      <x:c r="P13" s="1"/>
    </x:row>
    <x:row r="14" ht="16.5">
      <x:c r="A14" s="171" t="n">
        <x:v>46363</x:v>
      </x:c>
      <x:c r="B14" s="52" t="str">
        <x:f t="shared" si="0">IF(SUM(C14:G14)=0,"",SUM(C14:G14))</x:f>
      </x:c>
      <x:c r="C14" s="53"/>
      <x:c r="D14" s="54"/>
      <x:c r="E14" s="54"/>
      <x:c r="F14" s="53" t="str">
        <x:f>IF('RETAIL &amp; PRINT'!U17="","",'RETAIL &amp; PRINT'!U17)</x:f>
      </x:c>
      <x:c r="G14" s="53" t="str">
        <x:f t="shared" si="1">IF(F14="","",F14*10%)</x:f>
      </x:c>
      <x:c r="H14" s="1"/>
      <x:c r="I14" s="1"/>
      <x:c r="J14" s="27"/>
      <x:c r="K14" s="28"/>
      <x:c r="L14" s="1"/>
      <x:c r="M14" s="1"/>
      <x:c r="N14" s="1"/>
      <x:c r="O14" s="1"/>
      <x:c r="P14" s="1"/>
    </x:row>
    <x:row r="15" ht="16.5">
      <x:c r="A15" s="171" t="n">
        <x:v>46364</x:v>
      </x:c>
      <x:c r="B15" s="52" t="str">
        <x:f t="shared" si="0">IF(SUM(C15:G15)=0,"",SUM(C15:G15))</x:f>
      </x:c>
      <x:c r="C15" s="53"/>
      <x:c r="D15" s="54"/>
      <x:c r="E15" s="54"/>
      <x:c r="F15" s="53" t="str">
        <x:f>IF('RETAIL &amp; PRINT'!U18="","",'RETAIL &amp; PRINT'!U18)</x:f>
      </x:c>
      <x:c r="G15" s="53" t="str">
        <x:f t="shared" si="1">IF(F15="","",F15*10%)</x:f>
      </x:c>
      <x:c r="H15" s="1"/>
      <x:c r="I15" s="1"/>
      <x:c r="J15" s="1"/>
      <x:c r="K15" s="1"/>
      <x:c r="L15" s="1"/>
      <x:c r="M15" s="1"/>
      <x:c r="N15" s="1"/>
      <x:c r="O15" s="1"/>
      <x:c r="P15" s="1"/>
    </x:row>
    <x:row r="16" ht="16.5">
      <x:c r="A16" s="171" t="n">
        <x:v>46365</x:v>
      </x:c>
      <x:c r="B16" s="52" t="str">
        <x:f t="shared" si="0">IF(SUM(C16:G16)=0,"",SUM(C16:G16))</x:f>
      </x:c>
      <x:c r="C16" s="53"/>
      <x:c r="D16" s="54"/>
      <x:c r="E16" s="54"/>
      <x:c r="F16" s="53" t="str">
        <x:f>IF('RETAIL &amp; PRINT'!U19="","",'RETAIL &amp; PRINT'!U19)</x:f>
      </x:c>
      <x:c r="G16" s="53" t="str">
        <x:f t="shared" si="1">IF(F16="","",F16*10%)</x:f>
      </x:c>
      <x:c r="H16" s="1"/>
      <x:c r="I16" s="1"/>
      <x:c r="J16" s="1"/>
      <x:c r="K16" s="1"/>
      <x:c r="L16" s="1"/>
      <x:c r="M16" s="1"/>
      <x:c r="N16" s="1"/>
      <x:c r="O16" s="1"/>
      <x:c r="P16" s="1"/>
    </x:row>
    <x:row r="17" ht="16.5">
      <x:c r="A17" s="171" t="n">
        <x:v>46366</x:v>
      </x:c>
      <x:c r="B17" s="52" t="str">
        <x:f t="shared" si="0">IF(SUM(C17:G17)=0,"",SUM(C17:G17))</x:f>
      </x:c>
      <x:c r="C17" s="53"/>
      <x:c r="D17" s="54"/>
      <x:c r="E17" s="54"/>
      <x:c r="F17" s="53" t="str">
        <x:f>IF('RETAIL &amp; PRINT'!U20="","",'RETAIL &amp; PRINT'!U20)</x:f>
      </x:c>
      <x:c r="G17" s="53" t="str">
        <x:f t="shared" si="1">IF(F17="","",F17*10%)</x:f>
      </x:c>
      <x:c r="H17" s="1"/>
      <x:c r="I17" s="1"/>
      <x:c r="J17" s="1"/>
      <x:c r="K17" s="1"/>
      <x:c r="L17" s="1"/>
      <x:c r="M17" s="1"/>
      <x:c r="N17" s="1"/>
      <x:c r="O17" s="1"/>
      <x:c r="P17" s="1"/>
    </x:row>
    <x:row r="18" ht="16.5">
      <x:c r="A18" s="171" t="n">
        <x:v>46367</x:v>
      </x:c>
      <x:c r="B18" s="52" t="str">
        <x:f t="shared" si="0">IF(SUM(C18:G18)=0,"",SUM(C18:G18))</x:f>
      </x:c>
      <x:c r="C18" s="53"/>
      <x:c r="D18" s="54"/>
      <x:c r="E18" s="54"/>
      <x:c r="F18" s="53" t="str">
        <x:f>IF('RETAIL &amp; PRINT'!U21="","",'RETAIL &amp; PRINT'!U21)</x:f>
      </x:c>
      <x:c r="G18" s="53" t="str">
        <x:f t="shared" si="1">IF(F18="","",F18*10%)</x:f>
      </x:c>
      <x:c r="H18" s="1"/>
      <x:c r="I18" s="1"/>
      <x:c r="J18" s="1"/>
      <x:c r="K18" s="1"/>
      <x:c r="L18" s="1"/>
      <x:c r="M18" s="1"/>
      <x:c r="N18" s="1"/>
      <x:c r="O18" s="1"/>
      <x:c r="P18" s="1"/>
    </x:row>
    <x:row r="19" ht="16.5">
      <x:c r="A19" s="171" t="n">
        <x:v>46368</x:v>
      </x:c>
      <x:c r="B19" s="52" t="str">
        <x:f t="shared" si="0">IF(SUM(C19:G19)=0,"",SUM(C19:G19))</x:f>
      </x:c>
      <x:c r="C19" s="53"/>
      <x:c r="D19" s="54"/>
      <x:c r="E19" s="54"/>
      <x:c r="F19" s="53" t="str">
        <x:f>IF('RETAIL &amp; PRINT'!U22="","",'RETAIL &amp; PRINT'!U22)</x:f>
      </x:c>
      <x:c r="G19" s="53" t="str">
        <x:f t="shared" si="1">IF(F19="","",F19*10%)</x:f>
      </x:c>
      <x:c r="H19" s="1"/>
      <x:c r="I19" s="1"/>
      <x:c r="J19" s="1"/>
      <x:c r="K19" s="1"/>
      <x:c r="L19" s="1"/>
      <x:c r="M19" s="1"/>
      <x:c r="N19" s="1"/>
      <x:c r="O19" s="1"/>
      <x:c r="P19" s="1"/>
    </x:row>
    <x:row r="20" ht="16.5">
      <x:c r="A20" s="171" t="n">
        <x:v>46369</x:v>
      </x:c>
      <x:c r="B20" s="52" t="str">
        <x:f t="shared" si="0">IF(SUM(C20:G20)=0,"",SUM(C20:G20))</x:f>
      </x:c>
      <x:c r="C20" s="53"/>
      <x:c r="D20" s="54"/>
      <x:c r="E20" s="54"/>
      <x:c r="F20" s="53" t="str">
        <x:f>IF('RETAIL &amp; PRINT'!U23="","",'RETAIL &amp; PRINT'!U23)</x:f>
      </x:c>
      <x:c r="G20" s="53" t="str">
        <x:f t="shared" si="1">IF(F20="","",F20*10%)</x:f>
      </x:c>
      <x:c r="H20" s="1"/>
      <x:c r="I20" s="1"/>
      <x:c r="J20" s="1"/>
      <x:c r="K20" s="1"/>
      <x:c r="L20" s="1"/>
      <x:c r="M20" s="1"/>
      <x:c r="N20" s="1"/>
      <x:c r="O20" s="1"/>
      <x:c r="P20" s="1"/>
    </x:row>
    <x:row r="21" ht="16.5">
      <x:c r="A21" s="171" t="n">
        <x:v>46370</x:v>
      </x:c>
      <x:c r="B21" s="52" t="str">
        <x:f t="shared" si="0">IF(SUM(C21:G21)=0,"",SUM(C21:G21))</x:f>
      </x:c>
      <x:c r="C21" s="53"/>
      <x:c r="D21" s="54"/>
      <x:c r="E21" s="54"/>
      <x:c r="F21" s="53" t="str">
        <x:f>IF('RETAIL &amp; PRINT'!U24="","",'RETAIL &amp; PRINT'!U24)</x:f>
      </x:c>
      <x:c r="G21" s="53" t="str">
        <x:f t="shared" si="1">IF(F21="","",F21*10%)</x:f>
      </x:c>
      <x:c r="H21" s="1"/>
      <x:c r="I21" s="1"/>
      <x:c r="J21" s="1"/>
      <x:c r="K21" s="1"/>
      <x:c r="L21" s="1"/>
      <x:c r="M21" s="1"/>
      <x:c r="N21" s="1"/>
      <x:c r="O21" s="1"/>
      <x:c r="P21" s="1"/>
    </x:row>
    <x:row r="22" ht="16.5">
      <x:c r="A22" s="171" t="n">
        <x:v>46371</x:v>
      </x:c>
      <x:c r="B22" s="52" t="str">
        <x:f t="shared" si="0">IF(SUM(C22:G22)=0,"",SUM(C22:G22))</x:f>
      </x:c>
      <x:c r="C22" s="53"/>
      <x:c r="D22" s="54"/>
      <x:c r="E22" s="54"/>
      <x:c r="F22" s="53" t="str">
        <x:f>IF('RETAIL &amp; PRINT'!U25="","",'RETAIL &amp; PRINT'!U25)</x:f>
      </x:c>
      <x:c r="G22" s="53" t="str">
        <x:f t="shared" si="1">IF(F22="","",F22*10%)</x:f>
      </x:c>
      <x:c r="H22" s="1"/>
      <x:c r="I22" s="1"/>
      <x:c r="J22" s="1"/>
      <x:c r="K22" s="1"/>
      <x:c r="L22" s="1"/>
      <x:c r="M22" s="1"/>
      <x:c r="N22" s="1"/>
      <x:c r="O22" s="1"/>
      <x:c r="P22" s="1"/>
    </x:row>
    <x:row r="23" ht="16.5">
      <x:c r="A23" s="171" t="n">
        <x:v>46372</x:v>
      </x:c>
      <x:c r="B23" s="52" t="str">
        <x:f t="shared" si="0">IF(SUM(C23:G23)=0,"",SUM(C23:G23))</x:f>
      </x:c>
      <x:c r="C23" s="53"/>
      <x:c r="D23" s="54"/>
      <x:c r="E23" s="54"/>
      <x:c r="F23" s="53" t="str">
        <x:f>IF('RETAIL &amp; PRINT'!U26="","",'RETAIL &amp; PRINT'!U26)</x:f>
      </x:c>
      <x:c r="G23" s="53" t="str">
        <x:f t="shared" si="1">IF(F23="","",F23*10%)</x:f>
      </x:c>
      <x:c r="H23" s="1"/>
      <x:c r="I23" s="1"/>
      <x:c r="J23" s="1"/>
      <x:c r="K23" s="1"/>
      <x:c r="L23" s="1"/>
      <x:c r="M23" s="1"/>
      <x:c r="N23" s="1"/>
      <x:c r="O23" s="1"/>
      <x:c r="P23" s="1"/>
    </x:row>
    <x:row r="24" ht="16.5">
      <x:c r="A24" s="171" t="n">
        <x:v>46373</x:v>
      </x:c>
      <x:c r="B24" s="52" t="str">
        <x:f t="shared" si="0">IF(SUM(C24:G24)=0,"",SUM(C24:G24))</x:f>
      </x:c>
      <x:c r="C24" s="53"/>
      <x:c r="D24" s="54"/>
      <x:c r="E24" s="54"/>
      <x:c r="F24" s="53" t="str">
        <x:f>IF('RETAIL &amp; PRINT'!U27="","",'RETAIL &amp; PRINT'!U27)</x:f>
      </x:c>
      <x:c r="G24" s="53" t="str">
        <x:f t="shared" si="1">IF(F24="","",F24*10%)</x:f>
      </x:c>
      <x:c r="H24" s="1"/>
      <x:c r="I24" s="1"/>
      <x:c r="J24" s="1"/>
      <x:c r="K24" s="1"/>
      <x:c r="L24" s="1"/>
      <x:c r="M24" s="1"/>
      <x:c r="N24" s="1"/>
      <x:c r="O24" s="1"/>
      <x:c r="P24" s="1"/>
    </x:row>
    <x:row r="25" ht="16.5">
      <x:c r="A25" s="171" t="n">
        <x:v>46374</x:v>
      </x:c>
      <x:c r="B25" s="52" t="str">
        <x:f t="shared" si="0">IF(SUM(C25:G25)=0,"",SUM(C25:G25))</x:f>
      </x:c>
      <x:c r="C25" s="53"/>
      <x:c r="D25" s="54"/>
      <x:c r="E25" s="54"/>
      <x:c r="F25" s="53" t="str">
        <x:f>IF('RETAIL &amp; PRINT'!U28="","",'RETAIL &amp; PRINT'!U28)</x:f>
      </x:c>
      <x:c r="G25" s="53" t="str">
        <x:f t="shared" si="1">IF(F25="","",F25*10%)</x:f>
      </x:c>
      <x:c r="H25" s="1"/>
      <x:c r="I25" s="34"/>
      <x:c r="J25" s="34"/>
      <x:c r="K25" s="34"/>
      <x:c r="L25" s="1"/>
      <x:c r="M25" s="1"/>
      <x:c r="N25" s="1"/>
      <x:c r="O25" s="1"/>
      <x:c r="P25" s="1"/>
    </x:row>
    <x:row r="26" ht="16.5">
      <x:c r="A26" s="171" t="n">
        <x:v>46375</x:v>
      </x:c>
      <x:c r="B26" s="52" t="str">
        <x:f t="shared" si="0">IF(SUM(C26:G26)=0,"",SUM(C26:G26))</x:f>
      </x:c>
      <x:c r="C26" s="53"/>
      <x:c r="D26" s="54"/>
      <x:c r="E26" s="54"/>
      <x:c r="F26" s="53" t="str">
        <x:f>IF('RETAIL &amp; PRINT'!U29="","",'RETAIL &amp; PRINT'!U29)</x:f>
      </x:c>
      <x:c r="G26" s="53" t="str">
        <x:f t="shared" si="1">IF(F26="","",F26*10%)</x:f>
      </x:c>
      <x:c r="H26" s="1"/>
      <x:c r="I26" s="33"/>
      <x:c r="J26" s="33"/>
      <x:c r="K26" s="33"/>
      <x:c r="L26" s="1"/>
      <x:c r="M26" s="1"/>
      <x:c r="N26" s="1"/>
      <x:c r="O26" s="1"/>
      <x:c r="P26" s="1"/>
    </x:row>
    <x:row r="27" ht="16.5">
      <x:c r="A27" s="171" t="n">
        <x:v>46376</x:v>
      </x:c>
      <x:c r="B27" s="52" t="str">
        <x:f t="shared" si="0">IF(SUM(C27:G27)=0,"",SUM(C27:G27))</x:f>
      </x:c>
      <x:c r="C27" s="53"/>
      <x:c r="D27" s="54"/>
      <x:c r="E27" s="54"/>
      <x:c r="F27" s="53" t="str">
        <x:f>IF('RETAIL &amp; PRINT'!U30="","",'RETAIL &amp; PRINT'!U30)</x:f>
      </x:c>
      <x:c r="G27" s="53" t="str">
        <x:f t="shared" si="1">IF(F27="","",F27*10%)</x:f>
      </x:c>
      <x:c r="H27" s="1"/>
      <x:c r="I27" s="34"/>
      <x:c r="J27" s="35"/>
      <x:c r="K27" s="36"/>
      <x:c r="L27" s="1"/>
      <x:c r="M27" s="1"/>
      <x:c r="N27" s="1"/>
      <x:c r="O27" s="1"/>
      <x:c r="P27" s="1"/>
    </x:row>
    <x:row r="28" ht="16.5">
      <x:c r="A28" s="171" t="n">
        <x:v>46377</x:v>
      </x:c>
      <x:c r="B28" s="52" t="str">
        <x:f t="shared" si="0">IF(SUM(C28:G28)=0,"",SUM(C28:G28))</x:f>
      </x:c>
      <x:c r="C28" s="53"/>
      <x:c r="D28" s="54"/>
      <x:c r="E28" s="54"/>
      <x:c r="F28" s="53" t="str">
        <x:f>IF('RETAIL &amp; PRINT'!U31="","",'RETAIL &amp; PRINT'!U31)</x:f>
      </x:c>
      <x:c r="G28" s="53" t="str">
        <x:f t="shared" si="1">IF(F28="","",F28*10%)</x:f>
      </x:c>
      <x:c r="H28" s="1"/>
      <x:c r="I28" s="34"/>
      <x:c r="J28" s="37"/>
      <x:c r="K28" s="36"/>
      <x:c r="L28" s="1"/>
      <x:c r="M28" s="1"/>
      <x:c r="N28" s="1"/>
      <x:c r="O28" s="1"/>
      <x:c r="P28" s="1"/>
    </x:row>
    <x:row r="29" ht="16.5">
      <x:c r="A29" s="171" t="n">
        <x:v>46378</x:v>
      </x:c>
      <x:c r="B29" s="52" t="str">
        <x:f t="shared" si="0">IF(SUM(C29:G29)=0,"",SUM(C29:G29))</x:f>
      </x:c>
      <x:c r="C29" s="53"/>
      <x:c r="D29" s="56"/>
      <x:c r="E29" s="56"/>
      <x:c r="F29" s="53" t="str">
        <x:f>IF('RETAIL &amp; PRINT'!U32="","",'RETAIL &amp; PRINT'!U32)</x:f>
      </x:c>
      <x:c r="G29" s="53" t="str">
        <x:f t="shared" si="1">IF(F29="","",F29*10%)</x:f>
      </x:c>
      <x:c r="H29" s="1"/>
      <x:c r="I29" s="1"/>
      <x:c r="J29" s="29"/>
      <x:c r="K29" s="30"/>
      <x:c r="L29" s="1"/>
      <x:c r="M29" s="1"/>
      <x:c r="N29" s="1"/>
      <x:c r="O29" s="1"/>
      <x:c r="P29" s="1"/>
    </x:row>
    <x:row r="30" ht="16.5">
      <x:c r="A30" s="171" t="n">
        <x:v>46379</x:v>
      </x:c>
      <x:c r="B30" s="52" t="str">
        <x:f t="shared" si="0">IF(SUM(C30:G30)=0,"",SUM(C30:G30))</x:f>
      </x:c>
      <x:c r="C30" s="53"/>
      <x:c r="D30" s="54"/>
      <x:c r="E30" s="54"/>
      <x:c r="F30" s="53" t="str">
        <x:f>IF('RETAIL &amp; PRINT'!U33="","",'RETAIL &amp; PRINT'!U33)</x:f>
      </x:c>
      <x:c r="G30" s="53" t="str">
        <x:f t="shared" si="1">IF(F30="","",F30*10%)</x:f>
      </x:c>
      <x:c r="H30" s="1"/>
      <x:c r="I30" s="1"/>
      <x:c r="J30" s="31"/>
      <x:c r="K30" s="30"/>
      <x:c r="L30" s="1"/>
      <x:c r="M30" s="1"/>
      <x:c r="N30" s="1"/>
      <x:c r="O30" s="1"/>
      <x:c r="P30" s="1"/>
    </x:row>
    <x:row r="31" ht="16.5">
      <x:c r="A31" s="171" t="n">
        <x:v>46380</x:v>
      </x:c>
      <x:c r="B31" s="52" t="str">
        <x:f t="shared" si="0">IF(SUM(C31:G31)=0,"",SUM(C31:G31))</x:f>
      </x:c>
      <x:c r="C31" s="53"/>
      <x:c r="D31" s="54"/>
      <x:c r="E31" s="54"/>
      <x:c r="F31" s="53" t="str">
        <x:f>IF('RETAIL &amp; PRINT'!U34="","",'RETAIL &amp; PRINT'!U34)</x:f>
      </x:c>
      <x:c r="G31" s="53" t="str">
        <x:f t="shared" si="1">IF(F31="","",F31*10%)</x:f>
      </x:c>
      <x:c r="I31" s="1"/>
      <x:c r="J31" s="29"/>
      <x:c r="K31" s="30"/>
      <x:c r="L31" s="1"/>
      <x:c r="M31" s="1"/>
      <x:c r="N31" s="1"/>
      <x:c r="O31" s="1"/>
      <x:c r="P31" s="1"/>
    </x:row>
    <x:row r="32" ht="16.5">
      <x:c r="A32" s="171" t="n">
        <x:v>46381</x:v>
      </x:c>
      <x:c r="B32" s="52" t="str">
        <x:f t="shared" si="0">IF(SUM(C32:G32)=0,"",SUM(C32:G32))</x:f>
      </x:c>
      <x:c r="C32" s="53"/>
      <x:c r="D32" s="54"/>
      <x:c r="E32" s="54"/>
      <x:c r="F32" s="53" t="str">
        <x:f>IF('RETAIL &amp; PRINT'!U35="","",'RETAIL &amp; PRINT'!U35)</x:f>
      </x:c>
      <x:c r="G32" s="53" t="str">
        <x:f t="shared" si="1">IF(F32="","",F32*10%)</x:f>
      </x:c>
      <x:c r="H32" s="1"/>
      <x:c r="I32" s="1"/>
      <x:c r="J32" s="31"/>
      <x:c r="K32" s="30"/>
      <x:c r="L32" s="1"/>
      <x:c r="M32" s="1"/>
      <x:c r="N32" s="1"/>
      <x:c r="O32" s="1"/>
      <x:c r="P32" s="1"/>
    </x:row>
    <x:row r="33" ht="16.5">
      <x:c r="A33" s="171" t="n">
        <x:v>46382</x:v>
      </x:c>
      <x:c r="B33" s="52" t="str">
        <x:f t="shared" si="0">IF(SUM(C33:G33)=0,"",SUM(C33:G33))</x:f>
      </x:c>
      <x:c r="C33" s="53"/>
      <x:c r="D33" s="54"/>
      <x:c r="E33" s="54"/>
      <x:c r="F33" s="53" t="str">
        <x:f>IF('RETAIL &amp; PRINT'!U36="","",'RETAIL &amp; PRINT'!U36)</x:f>
      </x:c>
      <x:c r="G33" s="53" t="str">
        <x:f t="shared" si="1">IF(F33="","",F33*10%)</x:f>
      </x:c>
      <x:c r="H33" s="1"/>
      <x:c r="I33" s="1"/>
      <x:c r="J33" s="32"/>
      <x:c r="K33" s="30"/>
      <x:c r="L33" s="1"/>
      <x:c r="M33" s="1"/>
      <x:c r="N33" s="1"/>
      <x:c r="O33" s="1"/>
      <x:c r="P33" s="1"/>
    </x:row>
    <x:row r="34" ht="16.5">
      <x:c r="A34" s="171" t="n">
        <x:v>46383</x:v>
      </x:c>
      <x:c r="B34" s="52" t="str">
        <x:f t="shared" si="0">IF(SUM(C34:G34)=0,"",SUM(C34:G34))</x:f>
      </x:c>
      <x:c r="C34" s="53"/>
      <x:c r="D34" s="54"/>
      <x:c r="E34" s="54"/>
      <x:c r="F34" s="53" t="str">
        <x:f>IF('RETAIL &amp; PRINT'!U37="","",'RETAIL &amp; PRINT'!U37)</x:f>
      </x:c>
      <x:c r="G34" s="53" t="str">
        <x:f t="shared" si="1">IF(F34="","",F34*10%)</x:f>
      </x:c>
      <x:c r="H34" s="1"/>
      <x:c r="I34" s="1"/>
      <x:c r="J34" s="1"/>
      <x:c r="K34" s="1"/>
      <x:c r="L34" s="1"/>
      <x:c r="M34" s="1"/>
      <x:c r="N34" s="1"/>
      <x:c r="O34" s="1"/>
      <x:c r="P34" s="1"/>
    </x:row>
    <x:row r="35" ht="16.5">
      <x:c r="A35" s="171" t="n">
        <x:v>46384</x:v>
      </x:c>
      <x:c r="B35" s="52" t="str">
        <x:f t="shared" si="0">IF(SUM(C35:G35)=0,"",SUM(C35:G35))</x:f>
      </x:c>
      <x:c r="C35" s="53"/>
      <x:c r="D35" s="54"/>
      <x:c r="E35" s="54"/>
      <x:c r="F35" s="53" t="str">
        <x:f>IF('RETAIL &amp; PRINT'!U38="","",'RETAIL &amp; PRINT'!U38)</x:f>
      </x:c>
      <x:c r="G35" s="53" t="str">
        <x:f t="shared" si="1">IF(F35="","",F35*10%)</x:f>
      </x:c>
      <x:c r="H35" s="1"/>
      <x:c r="I35" s="1"/>
      <x:c r="J35" s="1"/>
      <x:c r="K35" s="1"/>
      <x:c r="L35" s="1"/>
      <x:c r="M35" s="1"/>
      <x:c r="N35" s="1"/>
      <x:c r="O35" s="1"/>
      <x:c r="P35" s="1"/>
    </x:row>
    <x:row r="36" ht="16.5">
      <x:c r="A36" s="171" t="n">
        <x:v>46385</x:v>
      </x:c>
      <x:c r="B36" s="52" t="str">
        <x:f>IF(SUM(C36:G36)=0,"",SUM(C36:G36))</x:f>
      </x:c>
      <x:c r="C36" s="53"/>
      <x:c r="D36" s="54"/>
      <x:c r="E36" s="54"/>
      <x:c r="F36" s="53" t="str">
        <x:f>IF('RETAIL &amp; PRINT'!U39="","",'RETAIL &amp; PRINT'!U39)</x:f>
      </x:c>
      <x:c r="G36" s="53" t="str">
        <x:f t="shared" si="1">IF(F36="","",F36*10%)</x:f>
      </x:c>
      <x:c r="H36" s="1"/>
      <x:c r="I36" s="1"/>
      <x:c r="J36" s="1"/>
      <x:c r="K36" s="1"/>
      <x:c r="L36" s="1"/>
      <x:c r="M36" s="1"/>
      <x:c r="N36" s="1"/>
      <x:c r="O36" s="1"/>
      <x:c r="P36" s="1"/>
    </x:row>
    <x:row r="37" ht="16.5">
      <x:c r="A37" s="171" t="n">
        <x:v>46386</x:v>
      </x:c>
      <x:c r="B37" s="52" t="str">
        <x:f>IF(SUM(C37:G37)=0,"",SUM(C37:G37))</x:f>
      </x:c>
      <x:c r="C37" s="53"/>
      <x:c r="D37" s="54"/>
      <x:c r="E37" s="54"/>
      <x:c r="F37" s="53" t="str">
        <x:f>IF('RETAIL &amp; PRINT'!U40="","",'RETAIL &amp; PRINT'!U40)</x:f>
      </x:c>
      <x:c r="G37" s="53" t="str">
        <x:f t="shared" si="1">IF(F37="","",F37*10%)</x:f>
      </x:c>
      <x:c r="H37" s="1"/>
      <x:c r="I37" s="1"/>
      <x:c r="J37" s="1"/>
      <x:c r="K37" s="1"/>
      <x:c r="L37" s="1"/>
      <x:c r="M37" s="1"/>
      <x:c r="N37" s="1"/>
      <x:c r="O37" s="1"/>
      <x:c r="P37" s="1"/>
    </x:row>
    <x:row r="38" ht="16.5">
      <x:c r="A38" s="171" t="n">
        <x:v>46387</x:v>
      </x:c>
      <x:c r="B38" s="52" t="str">
        <x:f>IF(SUM(C38:G38)=0,"",SUM(C38:G38))</x:f>
      </x:c>
      <x:c r="C38" s="53"/>
      <x:c r="D38" s="54"/>
      <x:c r="E38" s="54"/>
      <x:c r="F38" s="53" t="str">
        <x:f>IF('RETAIL &amp; PRINT'!U41="","",'RETAIL &amp; PRINT'!U41)</x:f>
      </x:c>
      <x:c r="G38" s="53" t="str">
        <x:f t="shared" si="1">IF(F38="","",F38*10%)</x:f>
      </x:c>
      <x:c r="H38" s="1"/>
      <x:c r="I38" s="1"/>
      <x:c r="J38" s="1"/>
      <x:c r="K38" s="1"/>
      <x:c r="L38" s="1"/>
      <x:c r="M38" s="1"/>
      <x:c r="N38" s="1"/>
      <x:c r="O38" s="1"/>
      <x:c r="P38" s="1"/>
    </x:row>
    <x:row r="39" ht="16.5">
      <x:c r="A39" s="51"/>
      <x:c r="B39" s="75" t="str">
        <x:f t="shared" ref="B39:G39" si="2">IF(SUM(B8:B38)=0,"",SUM(B8:B38))</x:f>
      </x:c>
      <x:c r="C39" s="75" t="str">
        <x:f t="shared" si="2">IF(SUM(C8:C38)=0,"",SUM(C8:C38))</x:f>
      </x:c>
      <x:c r="D39" s="75" t="str">
        <x:f t="shared" si="2">IF(SUM(D8:D38)=0,"",SUM(D8:D38))</x:f>
      </x:c>
      <x:c r="E39" s="75" t="str">
        <x:f t="shared" si="2">IF(SUM(E8:E38)=0,"",SUM(E8:E38))</x:f>
      </x:c>
      <x:c r="F39" s="75" t="str">
        <x:f t="shared" si="2">IF(SUM(F8:F38)=0,"",SUM(F8:F38))</x:f>
      </x:c>
      <x:c r="G39" s="75" t="str">
        <x:f t="shared" si="2">IF(SUM(G8:G38)=0,"",SUM(G8:G38))</x:f>
      </x:c>
      <x:c r="H39" s="1"/>
      <x:c r="I39" s="1"/>
      <x:c r="J39" s="1"/>
      <x:c r="K39" s="1"/>
      <x:c r="L39" s="1"/>
      <x:c r="M39" s="1"/>
      <x:c r="N39" s="1"/>
      <x:c r="O39" s="1"/>
      <x:c r="P39" s="1"/>
    </x:row>
    <x:row r="40" ht="16.5">
      <x:c r="A40" s="51"/>
      <x:c r="B40" s="66" t="str">
        <x:f>IF(B39="","",B39)</x:f>
      </x:c>
      <x:c r="C40" s="67" t="str">
        <x:f>IF(C39="","",C39)</x:f>
      </x:c>
      <x:c r="D40" s="107" t="str">
        <x:f>IF(SUM(D39:E39)=0,"",SUM(D39:E39))</x:f>
      </x:c>
      <x:c r="E40" s="108"/>
      <x:c r="F40" s="142" t="str">
        <x:f>IF(SUM(F39:G39)=0,"",SUM(F39:G39))</x:f>
      </x:c>
      <x:c r="G40" s="143"/>
      <x:c r="H40" s="1"/>
      <x:c r="I40" s="1"/>
      <x:c r="J40" s="1"/>
      <x:c r="K40" s="1"/>
      <x:c r="L40" s="1"/>
      <x:c r="M40" s="1"/>
      <x:c r="N40" s="1"/>
      <x:c r="O40" s="1"/>
      <x:c r="P40" s="1"/>
    </x:row>
    <x:row r="41" ht="16.5">
      <x:c r="B41" s="11"/>
      <x:c r="C41" s="1"/>
      <x:c r="D41" s="19"/>
      <x:c r="E41" s="19"/>
      <x:c r="F41" s="12"/>
      <x:c r="G41" s="13"/>
      <x:c r="H41" s="1"/>
      <x:c r="I41" s="1"/>
      <x:c r="J41" s="1"/>
      <x:c r="K41" s="1"/>
      <x:c r="L41" s="1"/>
      <x:c r="M41" s="1"/>
      <x:c r="N41" s="1"/>
      <x:c r="O41" s="1"/>
      <x:c r="P41" s="1"/>
    </x:row>
    <x:row r="42" ht="16.5">
      <x:c r="B42" s="11"/>
      <x:c r="C42" s="1"/>
      <x:c r="D42" s="19"/>
      <x:c r="E42" s="19"/>
      <x:c r="F42" s="12"/>
      <x:c r="G42" s="25"/>
      <x:c r="H42" s="1"/>
      <x:c r="I42" s="1"/>
      <x:c r="J42" s="1"/>
      <x:c r="K42" s="1"/>
      <x:c r="L42" s="1"/>
      <x:c r="M42" s="1"/>
      <x:c r="N42" s="1"/>
      <x:c r="O42" s="1"/>
      <x:c r="P42" s="1"/>
    </x:row>
    <x:row r="43" ht="16.5">
      <x:c r="B43" s="11"/>
      <x:c r="C43" s="27"/>
      <x:c r="D43" s="19"/>
      <x:c r="E43" s="19"/>
      <x:c r="F43" s="12"/>
      <x:c r="G43" s="13"/>
      <x:c r="H43" s="1"/>
      <x:c r="I43" s="1"/>
      <x:c r="J43" s="1"/>
      <x:c r="K43" s="1"/>
      <x:c r="L43" s="1"/>
      <x:c r="M43" s="1"/>
      <x:c r="N43" s="1"/>
      <x:c r="O43" s="1"/>
      <x:c r="P43" s="1"/>
    </x:row>
    <x:row r="44" ht="16.5">
      <x:c r="B44" s="11"/>
      <x:c r="C44" s="27"/>
      <x:c r="D44" s="19"/>
      <x:c r="E44" s="19"/>
      <x:c r="F44" s="12"/>
      <x:c r="G44" s="13"/>
      <x:c r="H44" s="1"/>
      <x:c r="I44" s="1"/>
      <x:c r="J44" s="1"/>
      <x:c r="K44" s="1"/>
      <x:c r="L44" s="1"/>
      <x:c r="M44" s="1"/>
      <x:c r="N44" s="1"/>
      <x:c r="O44" s="1"/>
      <x:c r="P44" s="1"/>
    </x:row>
    <x:row r="45" ht="16.5">
      <x:c r="B45" s="11"/>
      <x:c r="C45" s="27"/>
      <x:c r="D45" s="19"/>
      <x:c r="E45" s="19"/>
      <x:c r="F45" s="12"/>
      <x:c r="G45" s="13"/>
      <x:c r="H45" s="1"/>
      <x:c r="I45" s="1"/>
      <x:c r="J45" s="1"/>
      <x:c r="K45" s="1"/>
      <x:c r="L45" s="1"/>
      <x:c r="M45" s="1"/>
      <x:c r="N45" s="1"/>
      <x:c r="O45" s="1"/>
      <x:c r="P45" s="1"/>
    </x:row>
    <x:row r="46" ht="16.5">
      <x:c r="B46" s="11"/>
      <x:c r="C46" s="1"/>
      <x:c r="D46" s="19"/>
      <x:c r="E46" s="19"/>
      <x:c r="F46" s="12"/>
      <x:c r="G46" s="13"/>
      <x:c r="H46" s="1"/>
      <x:c r="I46" s="1"/>
      <x:c r="J46" s="1"/>
      <x:c r="K46" s="1"/>
      <x:c r="L46" s="1"/>
      <x:c r="M46" s="1"/>
      <x:c r="N46" s="1"/>
      <x:c r="O46" s="1"/>
      <x:c r="P46" s="1"/>
    </x:row>
    <x:row r="47" ht="16.5">
      <x:c r="B47" s="11"/>
      <x:c r="C47" s="1"/>
      <x:c r="D47" s="19"/>
      <x:c r="E47" s="19"/>
      <x:c r="F47" s="12"/>
      <x:c r="G47" s="13"/>
      <x:c r="H47" s="1"/>
      <x:c r="I47" s="1"/>
      <x:c r="J47" s="1"/>
      <x:c r="K47" s="1"/>
      <x:c r="L47" s="1"/>
      <x:c r="M47" s="1"/>
      <x:c r="N47" s="1"/>
      <x:c r="O47" s="1"/>
      <x:c r="P47" s="1"/>
    </x:row>
    <x:row r="48" ht="16.5">
      <x:c r="B48" s="11"/>
      <x:c r="C48" s="1"/>
      <x:c r="D48" s="19"/>
      <x:c r="E48" s="19"/>
      <x:c r="F48" s="12"/>
      <x:c r="G48" s="13"/>
      <x:c r="H48" s="1"/>
      <x:c r="I48" s="1"/>
      <x:c r="J48" s="1"/>
      <x:c r="K48" s="1"/>
      <x:c r="L48" s="1"/>
      <x:c r="M48" s="1"/>
      <x:c r="N48" s="1"/>
      <x:c r="O48" s="1"/>
      <x:c r="P48" s="1"/>
    </x:row>
    <x:row r="49" ht="16.5">
      <x:c r="B49" s="11"/>
      <x:c r="C49" s="1"/>
      <x:c r="D49" s="19"/>
      <x:c r="E49" s="19"/>
      <x:c r="F49" s="12"/>
      <x:c r="G49" s="13"/>
      <x:c r="H49" s="1"/>
      <x:c r="I49" s="1"/>
      <x:c r="J49" s="1"/>
      <x:c r="K49" s="1"/>
      <x:c r="L49" s="1"/>
      <x:c r="M49" s="1"/>
      <x:c r="N49" s="1"/>
      <x:c r="O49" s="1"/>
      <x:c r="P49" s="1"/>
    </x:row>
    <x:row r="50" ht="16.5">
      <x:c r="A50"/>
      <x:c r="B50" s="11"/>
      <x:c r="C50" s="1"/>
      <x:c r="D50" s="19"/>
      <x:c r="E50" s="19"/>
      <x:c r="F50" s="12"/>
      <x:c r="G50" s="13"/>
      <x:c r="H50" s="1"/>
      <x:c r="I50" s="1"/>
      <x:c r="J50" s="1"/>
      <x:c r="K50" s="1"/>
      <x:c r="L50" s="1"/>
      <x:c r="M50" s="1"/>
      <x:c r="N50" s="1"/>
      <x:c r="O50" s="1"/>
      <x:c r="P50" s="1"/>
    </x:row>
    <x:row r="51" ht="16.5">
      <x:c r="A51"/>
      <x:c r="B51" s="11"/>
      <x:c r="C51" s="1"/>
      <x:c r="D51" s="19"/>
      <x:c r="E51" s="19"/>
      <x:c r="F51" s="12"/>
      <x:c r="G51" s="13"/>
      <x:c r="H51" s="1"/>
      <x:c r="I51" s="1"/>
      <x:c r="J51" s="1"/>
      <x:c r="K51" s="1"/>
      <x:c r="L51" s="1"/>
      <x:c r="M51" s="1"/>
      <x:c r="N51" s="1"/>
      <x:c r="O51" s="1"/>
      <x:c r="P51" s="1"/>
    </x:row>
    <x:row r="52" ht="16.5">
      <x:c r="A52"/>
      <x:c r="B52" s="11"/>
      <x:c r="C52" s="1"/>
      <x:c r="D52" s="19"/>
      <x:c r="E52" s="19"/>
      <x:c r="F52" s="12"/>
      <x:c r="G52" s="13"/>
      <x:c r="H52" s="1"/>
      <x:c r="I52" s="1"/>
      <x:c r="J52" s="1"/>
      <x:c r="K52" s="1"/>
      <x:c r="L52" s="1"/>
      <x:c r="M52" s="1"/>
      <x:c r="N52" s="1"/>
      <x:c r="O52" s="1"/>
      <x:c r="P52" s="1"/>
    </x:row>
    <x:row r="53" ht="16.5">
      <x:c r="A53"/>
      <x:c r="B53" s="11"/>
      <x:c r="C53" s="1"/>
      <x:c r="D53" s="19"/>
      <x:c r="E53" s="19"/>
      <x:c r="F53" s="12"/>
      <x:c r="G53" s="13"/>
      <x:c r="H53" s="1"/>
      <x:c r="I53" s="1"/>
      <x:c r="J53" s="1"/>
      <x:c r="K53" s="1"/>
      <x:c r="L53" s="1"/>
      <x:c r="M53" s="1"/>
      <x:c r="N53" s="1"/>
      <x:c r="O53" s="1"/>
      <x:c r="P53" s="1"/>
    </x:row>
    <x:row r="54" ht="16.5">
      <x:c r="A54"/>
      <x:c r="B54" s="11"/>
      <x:c r="C54" s="1"/>
      <x:c r="D54" s="19"/>
      <x:c r="E54" s="19"/>
      <x:c r="F54" s="12"/>
      <x:c r="G54" s="13"/>
      <x:c r="H54" s="1"/>
      <x:c r="I54" s="1"/>
      <x:c r="J54" s="1"/>
      <x:c r="K54" s="1"/>
      <x:c r="L54" s="1"/>
      <x:c r="M54" s="1"/>
      <x:c r="N54" s="1"/>
      <x:c r="O54" s="1"/>
      <x:c r="P54" s="1"/>
    </x:row>
    <x:row r="55" ht="16.5">
      <x:c r="A55"/>
      <x:c r="B55" s="11"/>
      <x:c r="C55" s="1"/>
      <x:c r="D55" s="19"/>
      <x:c r="E55" s="19"/>
      <x:c r="F55" s="12"/>
      <x:c r="G55" s="13"/>
      <x:c r="H55" s="1"/>
      <x:c r="I55" s="1"/>
      <x:c r="J55" s="1"/>
      <x:c r="K55" s="1"/>
      <x:c r="L55" s="1"/>
      <x:c r="M55" s="1"/>
      <x:c r="N55" s="1"/>
      <x:c r="O55" s="1"/>
      <x:c r="P55" s="1"/>
    </x:row>
    <x:row r="56" ht="16.5">
      <x:c r="A56"/>
      <x:c r="B56" s="11"/>
      <x:c r="C56" s="1"/>
      <x:c r="D56" s="19"/>
      <x:c r="E56" s="19"/>
      <x:c r="F56" s="12"/>
      <x:c r="G56" s="13"/>
      <x:c r="H56" s="1"/>
      <x:c r="I56" s="1"/>
      <x:c r="J56" s="1"/>
      <x:c r="K56" s="1"/>
      <x:c r="L56" s="1"/>
      <x:c r="M56" s="1"/>
      <x:c r="N56" s="1"/>
      <x:c r="O56" s="1"/>
      <x:c r="P56" s="1"/>
    </x:row>
    <x:row r="57" ht="16.5">
      <x:c r="A57"/>
      <x:c r="B57" s="11"/>
      <x:c r="C57" s="1"/>
      <x:c r="D57" s="19"/>
      <x:c r="E57" s="19"/>
      <x:c r="F57" s="12"/>
      <x:c r="G57" s="13"/>
      <x:c r="H57" s="1"/>
      <x:c r="I57" s="1"/>
      <x:c r="J57" s="1"/>
      <x:c r="K57" s="1"/>
      <x:c r="L57" s="1"/>
      <x:c r="M57" s="1"/>
      <x:c r="N57" s="1"/>
      <x:c r="O57" s="1"/>
      <x:c r="P57" s="1"/>
    </x:row>
    <x:row r="58" ht="16.5">
      <x:c r="A58"/>
      <x:c r="B58" s="11"/>
      <x:c r="C58" s="1"/>
      <x:c r="D58" s="19"/>
      <x:c r="E58" s="19"/>
      <x:c r="F58" s="12"/>
      <x:c r="G58" s="13"/>
      <x:c r="H58" s="1"/>
      <x:c r="I58" s="1"/>
      <x:c r="J58" s="1"/>
      <x:c r="K58" s="1"/>
      <x:c r="L58" s="1"/>
      <x:c r="M58" s="1"/>
      <x:c r="N58" s="1"/>
      <x:c r="O58" s="1"/>
      <x:c r="P58" s="1"/>
    </x:row>
    <x:row r="59" ht="16.5">
      <x:c r="A59"/>
      <x:c r="B59" s="11"/>
      <x:c r="C59" s="1"/>
      <x:c r="D59" s="19"/>
      <x:c r="E59" s="19"/>
      <x:c r="F59" s="12"/>
      <x:c r="G59" s="13"/>
      <x:c r="H59" s="1"/>
      <x:c r="I59" s="1"/>
      <x:c r="J59" s="1"/>
      <x:c r="K59" s="1"/>
      <x:c r="L59" s="1"/>
      <x:c r="M59" s="1"/>
      <x:c r="N59" s="1"/>
      <x:c r="O59" s="1"/>
      <x:c r="P59" s="1"/>
    </x:row>
    <x:row r="60" ht="16.5">
      <x:c r="A60"/>
      <x:c r="B60" s="11"/>
      <x:c r="C60" s="1"/>
      <x:c r="D60" s="19"/>
      <x:c r="E60" s="19"/>
      <x:c r="F60" s="12"/>
      <x:c r="G60" s="13"/>
      <x:c r="H60" s="1"/>
      <x:c r="I60" s="1"/>
      <x:c r="J60" s="1"/>
      <x:c r="K60" s="1"/>
      <x:c r="L60" s="1"/>
      <x:c r="M60" s="1"/>
      <x:c r="N60" s="1"/>
      <x:c r="O60" s="1"/>
      <x:c r="P60" s="1"/>
    </x:row>
    <x:row r="61" ht="16.5">
      <x:c r="A61"/>
      <x:c r="B61" s="11"/>
      <x:c r="C61" s="1"/>
      <x:c r="D61" s="19"/>
      <x:c r="E61" s="19"/>
      <x:c r="F61" s="12"/>
      <x:c r="G61" s="13"/>
      <x:c r="H61" s="1"/>
      <x:c r="I61" s="1"/>
      <x:c r="J61" s="1"/>
      <x:c r="K61" s="1"/>
      <x:c r="L61" s="1"/>
      <x:c r="M61" s="1"/>
      <x:c r="N61" s="1"/>
      <x:c r="O61" s="1"/>
      <x:c r="P61" s="1"/>
    </x:row>
    <x:row r="62" ht="16.5">
      <x:c r="A62"/>
      <x:c r="B62" s="11"/>
      <x:c r="C62" s="1"/>
      <x:c r="D62" s="19"/>
      <x:c r="E62" s="19"/>
      <x:c r="F62" s="12"/>
      <x:c r="G62" s="13"/>
      <x:c r="H62" s="1"/>
      <x:c r="I62" s="1"/>
      <x:c r="J62" s="1"/>
      <x:c r="K62" s="1"/>
      <x:c r="L62" s="1"/>
      <x:c r="M62" s="1"/>
      <x:c r="N62" s="1"/>
      <x:c r="O62" s="1"/>
      <x:c r="P62" s="1"/>
    </x:row>
    <x:row r="63" ht="16.5">
      <x:c r="A63"/>
      <x:c r="B63" s="11"/>
      <x:c r="C63" s="1"/>
      <x:c r="D63" s="19"/>
      <x:c r="E63" s="19"/>
      <x:c r="F63" s="12"/>
      <x:c r="G63" s="13"/>
      <x:c r="H63" s="1"/>
      <x:c r="I63" s="1"/>
      <x:c r="J63" s="1"/>
      <x:c r="K63" s="1"/>
      <x:c r="L63" s="1"/>
      <x:c r="M63" s="1"/>
      <x:c r="N63" s="1"/>
      <x:c r="O63" s="1"/>
      <x:c r="P63" s="1"/>
    </x:row>
    <x:row r="64" ht="16.5">
      <x:c r="A64"/>
      <x:c r="B64" s="11"/>
      <x:c r="C64" s="1"/>
      <x:c r="D64" s="19"/>
      <x:c r="E64" s="19"/>
      <x:c r="F64" s="12"/>
      <x:c r="G64" s="13"/>
      <x:c r="H64" s="1"/>
      <x:c r="I64" s="1"/>
      <x:c r="J64" s="1"/>
      <x:c r="K64" s="1"/>
      <x:c r="L64" s="1"/>
      <x:c r="M64" s="1"/>
      <x:c r="N64" s="1"/>
      <x:c r="O64" s="1"/>
      <x:c r="P64" s="1"/>
    </x:row>
    <x:row r="65" ht="16.5">
      <x:c r="A65"/>
      <x:c r="B65" s="11"/>
      <x:c r="C65" s="1"/>
      <x:c r="D65" s="19"/>
      <x:c r="E65" s="19"/>
      <x:c r="F65" s="12"/>
      <x:c r="G65" s="13"/>
      <x:c r="H65" s="1"/>
      <x:c r="I65" s="1"/>
      <x:c r="J65" s="1"/>
      <x:c r="K65" s="1"/>
      <x:c r="L65" s="1"/>
      <x:c r="M65" s="1"/>
      <x:c r="N65" s="1"/>
      <x:c r="O65" s="1"/>
      <x:c r="P65" s="1"/>
    </x:row>
    <x:row r="66" ht="16.5">
      <x:c r="A66"/>
      <x:c r="B66" s="11"/>
      <x:c r="C66" s="1"/>
      <x:c r="D66" s="19"/>
      <x:c r="E66" s="19"/>
      <x:c r="F66" s="12"/>
      <x:c r="G66" s="13"/>
      <x:c r="H66" s="1"/>
      <x:c r="I66" s="1"/>
      <x:c r="J66" s="1"/>
      <x:c r="K66" s="1"/>
      <x:c r="L66" s="1"/>
      <x:c r="M66" s="1"/>
      <x:c r="N66" s="1"/>
      <x:c r="O66" s="1"/>
      <x:c r="P66" s="1"/>
    </x:row>
    <x:row r="67" ht="16.5">
      <x:c r="A67"/>
      <x:c r="B67" s="11"/>
      <x:c r="C67" s="1"/>
      <x:c r="D67" s="19"/>
      <x:c r="E67" s="19"/>
      <x:c r="F67" s="12"/>
      <x:c r="G67" s="13"/>
      <x:c r="H67" s="1"/>
      <x:c r="I67" s="1"/>
      <x:c r="J67" s="1"/>
      <x:c r="K67" s="1"/>
      <x:c r="L67" s="1"/>
      <x:c r="M67" s="1"/>
      <x:c r="N67" s="1"/>
      <x:c r="O67" s="1"/>
      <x:c r="P67" s="1"/>
    </x:row>
    <x:row r="68" ht="16.5">
      <x:c r="A68"/>
      <x:c r="B68" s="11"/>
      <x:c r="C68" s="1"/>
      <x:c r="D68" s="19"/>
      <x:c r="E68" s="19"/>
      <x:c r="F68" s="12"/>
      <x:c r="G68" s="13"/>
      <x:c r="H68" s="1"/>
      <x:c r="I68" s="1"/>
      <x:c r="J68" s="1"/>
      <x:c r="K68" s="1"/>
      <x:c r="L68" s="1"/>
      <x:c r="M68" s="1"/>
      <x:c r="N68" s="1"/>
      <x:c r="O68" s="1"/>
      <x:c r="P68" s="1"/>
    </x:row>
    <x:row r="69" ht="16.5">
      <x:c r="A69"/>
      <x:c r="B69" s="11"/>
      <x:c r="C69" s="1"/>
      <x:c r="D69" s="19"/>
      <x:c r="E69" s="19"/>
      <x:c r="F69" s="12"/>
      <x:c r="G69" s="13"/>
      <x:c r="H69" s="1"/>
      <x:c r="I69" s="1"/>
      <x:c r="J69" s="1"/>
      <x:c r="K69" s="1"/>
      <x:c r="L69" s="1"/>
      <x:c r="M69" s="1"/>
      <x:c r="N69" s="1"/>
      <x:c r="O69" s="1"/>
      <x:c r="P69" s="1"/>
    </x:row>
    <x:row r="70" ht="16.5">
      <x:c r="A70"/>
      <x:c r="B70" s="11"/>
      <x:c r="C70" s="1"/>
      <x:c r="D70" s="19"/>
      <x:c r="E70" s="19"/>
      <x:c r="F70" s="12"/>
      <x:c r="G70" s="13"/>
      <x:c r="H70" s="1"/>
      <x:c r="I70" s="1"/>
      <x:c r="J70" s="1"/>
      <x:c r="K70" s="1"/>
      <x:c r="L70" s="1"/>
      <x:c r="M70" s="1"/>
      <x:c r="N70" s="1"/>
      <x:c r="O70" s="1"/>
      <x:c r="P70" s="1"/>
    </x:row>
    <x:row r="71" ht="16.5">
      <x:c r="A71"/>
      <x:c r="B71" s="11"/>
      <x:c r="C71" s="1"/>
      <x:c r="D71" s="19"/>
      <x:c r="E71" s="19"/>
      <x:c r="F71" s="12"/>
      <x:c r="G71" s="13"/>
      <x:c r="H71" s="1"/>
      <x:c r="I71" s="1"/>
      <x:c r="J71" s="1"/>
      <x:c r="K71" s="1"/>
      <x:c r="L71" s="1"/>
      <x:c r="M71" s="1"/>
      <x:c r="N71" s="1"/>
      <x:c r="O71" s="1"/>
      <x:c r="P71" s="1"/>
    </x:row>
    <x:row r="72" ht="16.5">
      <x:c r="A72"/>
      <x:c r="B72" s="11"/>
      <x:c r="C72" s="1"/>
      <x:c r="D72" s="19"/>
      <x:c r="E72" s="19"/>
      <x:c r="F72" s="12"/>
      <x:c r="G72" s="13"/>
      <x:c r="H72" s="1"/>
      <x:c r="I72" s="1"/>
      <x:c r="J72" s="1"/>
      <x:c r="K72" s="1"/>
      <x:c r="L72" s="1"/>
      <x:c r="M72" s="1"/>
      <x:c r="N72" s="1"/>
      <x:c r="O72" s="1"/>
      <x:c r="P72" s="1"/>
    </x:row>
    <x:row r="73" ht="16.5">
      <x:c r="A73"/>
      <x:c r="B73" s="11"/>
      <x:c r="C73" s="1"/>
      <x:c r="D73" s="19"/>
      <x:c r="E73" s="19"/>
      <x:c r="F73" s="12"/>
      <x:c r="G73" s="13"/>
      <x:c r="H73" s="1"/>
      <x:c r="I73" s="1"/>
      <x:c r="J73" s="1"/>
      <x:c r="K73" s="1"/>
      <x:c r="L73" s="1"/>
      <x:c r="M73" s="1"/>
      <x:c r="N73" s="1"/>
      <x:c r="O73" s="1"/>
      <x:c r="P73" s="1"/>
    </x:row>
    <x:row r="74" ht="16.5">
      <x:c r="A74"/>
      <x:c r="B74" s="11"/>
      <x:c r="C74" s="1"/>
      <x:c r="D74" s="19"/>
      <x:c r="E74" s="19"/>
      <x:c r="F74" s="12"/>
      <x:c r="G74" s="13"/>
      <x:c r="H74" s="1"/>
      <x:c r="I74" s="1"/>
      <x:c r="J74" s="1"/>
      <x:c r="K74" s="1"/>
      <x:c r="L74" s="1"/>
      <x:c r="M74" s="1"/>
      <x:c r="N74" s="1"/>
      <x:c r="O74" s="1"/>
      <x:c r="P74" s="1"/>
    </x:row>
    <x:row r="75" ht="16.5">
      <x:c r="A75"/>
      <x:c r="B75" s="11"/>
      <x:c r="C75" s="1"/>
      <x:c r="D75" s="19"/>
      <x:c r="E75" s="19"/>
      <x:c r="F75" s="12"/>
      <x:c r="G75" s="13"/>
      <x:c r="H75" s="1"/>
      <x:c r="I75" s="1"/>
      <x:c r="J75" s="1"/>
      <x:c r="K75" s="1"/>
      <x:c r="L75" s="1"/>
      <x:c r="M75" s="1"/>
      <x:c r="N75" s="1"/>
      <x:c r="O75" s="1"/>
      <x:c r="P75" s="1"/>
    </x:row>
    <x:row r="76" ht="16.5">
      <x:c r="A76"/>
      <x:c r="B76" s="11"/>
      <x:c r="C76" s="1"/>
      <x:c r="D76" s="19"/>
      <x:c r="E76" s="19"/>
      <x:c r="F76" s="12"/>
      <x:c r="G76" s="13"/>
      <x:c r="H76" s="1"/>
      <x:c r="I76" s="1"/>
      <x:c r="J76" s="1"/>
      <x:c r="K76" s="1"/>
      <x:c r="L76" s="1"/>
      <x:c r="M76" s="1"/>
      <x:c r="N76" s="1"/>
      <x:c r="O76" s="1"/>
      <x:c r="P76" s="1"/>
    </x:row>
    <x:row r="77" ht="16.5">
      <x:c r="A77"/>
      <x:c r="B77" s="11"/>
      <x:c r="C77" s="1"/>
      <x:c r="D77" s="19"/>
      <x:c r="E77" s="19"/>
      <x:c r="F77" s="12"/>
      <x:c r="G77" s="13"/>
      <x:c r="H77" s="1"/>
      <x:c r="I77" s="1"/>
      <x:c r="J77" s="1"/>
      <x:c r="K77" s="1"/>
      <x:c r="L77" s="1"/>
      <x:c r="M77" s="1"/>
      <x:c r="N77" s="1"/>
      <x:c r="O77" s="1"/>
      <x:c r="P77" s="1"/>
    </x:row>
    <x:row r="78" ht="16.5">
      <x:c r="A78"/>
      <x:c r="B78" s="11"/>
      <x:c r="C78" s="1"/>
      <x:c r="D78" s="19"/>
      <x:c r="E78" s="19"/>
      <x:c r="F78" s="12"/>
      <x:c r="G78" s="13"/>
      <x:c r="H78" s="1"/>
      <x:c r="I78" s="1"/>
      <x:c r="J78" s="1"/>
      <x:c r="K78" s="1"/>
      <x:c r="L78" s="1"/>
      <x:c r="M78" s="1"/>
      <x:c r="N78" s="1"/>
      <x:c r="O78" s="1"/>
      <x:c r="P78" s="1"/>
    </x:row>
  </x:sheetData>
  <x:mergeCells>
    <x:mergeCell ref="D5:E5"/>
    <x:mergeCell ref="F5:G5"/>
    <x:mergeCell ref="I5:K5"/>
    <x:mergeCell ref="F40:G40"/>
  </x:mergeCells>
  <x:pageMargins left="0.7" right="0.7" top="0.75" bottom="0.75" header="0.3" footer="0.3"/>
  <x:drawing xmlns:r="http://schemas.openxmlformats.org/officeDocument/2006/relationships" r:id="Red09e346e92c4637"/>
</x:worksheet>
</file>

<file path=xl/worksheets/sheet31.xml><?xml version="1.0" encoding="utf-8"?>
<x:worksheet xmlns:x="http://schemas.openxmlformats.org/spreadsheetml/2006/main">
  <x:sheetPr>
    <x:tabColor rgb="FFC00000"/>
  </x:sheetPr>
  <x:sheetFormatPr defaultRowHeight="15"/>
  <x:cols>
    <x:col min="1" max="1" width="13.42578125" style="14" customWidth="1"/>
    <x:col min="2" max="2" width="16.42578125" style="6" customWidth="1"/>
    <x:col min="3" max="3" width="19" customWidth="1"/>
    <x:col min="4" max="4" width="13.85546875" style="20" customWidth="1"/>
    <x:col min="5" max="5" width="12.28515625" style="20" customWidth="1"/>
    <x:col min="6" max="6" width="18.28515625" style="20" customWidth="1"/>
    <x:col min="7" max="7" width="29.5703125" customWidth="1"/>
    <x:col min="8" max="8" width="11.42578125" customWidth="1"/>
    <x:col min="9" max="9" width="13.140625" customWidth="1"/>
  </x:cols>
  <x:sheetData>
    <x:row r="1" ht="42.75" customHeight="1"/>
    <x:row r="2" ht="18">
      <x:c r="A2" s="16" t="str">
        <x:v>DAILY SALES  - DECEMBER 2026 (THIRD PARD)</x:v>
      </x:c>
      <x:c r="B2" s="16"/>
      <x:c r="C2" s="16"/>
      <x:c r="D2" s="18"/>
      <x:c r="E2" s="18"/>
      <x:c r="G2" s="20"/>
      <x:c r="H2" s="16"/>
      <x:c r="I2" s="16"/>
      <x:c r="J2" s="16"/>
      <x:c r="K2" s="16"/>
      <x:c r="L2" s="16"/>
      <x:c r="M2" s="16"/>
      <x:c r="N2" s="16"/>
      <x:c r="O2" s="16"/>
    </x:row>
    <x:row r="3" ht="18">
      <x:c r="B3" s="24"/>
      <x:c r="C3" s="24"/>
      <x:c r="D3" s="18"/>
      <x:c r="E3" s="18"/>
      <x:c r="F3" s="18"/>
      <x:c r="G3" s="24"/>
      <x:c r="H3" s="24"/>
      <x:c r="I3" s="24"/>
      <x:c r="J3" s="24"/>
      <x:c r="K3" s="24"/>
      <x:c r="L3" s="24"/>
      <x:c r="M3" s="24"/>
      <x:c r="N3" s="24"/>
      <x:c r="O3" s="24"/>
    </x:row>
    <x:row r="4" ht="16.5">
      <x:c r="B4" s="11"/>
      <x:c r="C4" s="1"/>
      <x:c r="D4" s="19"/>
      <x:c r="E4" s="19"/>
      <x:c r="F4" s="19"/>
      <x:c r="G4" s="1"/>
      <x:c r="H4" s="1"/>
      <x:c r="I4" s="1"/>
      <x:c r="J4" s="1"/>
      <x:c r="K4" s="1"/>
      <x:c r="L4" s="1"/>
      <x:c r="M4" s="1"/>
      <x:c r="N4" s="1"/>
      <x:c r="O4" s="1"/>
    </x:row>
    <x:row r="5" ht="30">
      <x:c r="A5" s="21" t="s">
        <x:v>21</x:v>
      </x:c>
      <x:c r="B5" s="22" t="s">
        <x:v>22</x:v>
      </x:c>
      <x:c r="C5" s="106" t="s">
        <x:v>31</x:v>
      </x:c>
      <x:c r="D5" s="106" t="s">
        <x:v>32</x:v>
      </x:c>
      <x:c r="E5" s="105" t="s">
        <x:v>38</x:v>
      </x:c>
      <x:c r="F5" s="106" t="s">
        <x:v>33</x:v>
      </x:c>
      <x:c r="G5" s="2"/>
      <x:c r="H5" s="135" t="s">
        <x:v>26</x:v>
      </x:c>
      <x:c r="I5" s="135"/>
      <x:c r="J5" s="135"/>
      <x:c r="O5" s="1"/>
    </x:row>
    <x:row r="6" ht="16.5">
      <x:c r="A6" s="21"/>
      <x:c r="B6" s="22"/>
      <x:c r="C6" s="23"/>
      <x:c r="D6" s="69"/>
      <x:c r="E6" s="69"/>
      <x:c r="F6" s="69" t="s">
        <x:v>39</x:v>
      </x:c>
      <x:c r="G6" s="2"/>
      <x:c r="H6" s="17"/>
      <x:c r="I6" s="17"/>
      <x:c r="J6" s="17"/>
      <x:c r="O6" s="1"/>
    </x:row>
    <x:row r="7" ht="16.5">
      <x:c r="A7" s="15"/>
      <x:c r="B7" s="7"/>
      <x:c r="C7" s="5"/>
      <x:c r="D7" s="70"/>
      <x:c r="E7" s="70"/>
      <x:c r="F7" s="70" t="s">
        <x:v>40</x:v>
      </x:c>
      <x:c r="G7" s="2"/>
      <x:c r="H7" s="3" t="str">
        <x:f>C5</x:f>
        <x:v>Kitwe</x:v>
      </x:c>
      <x:c r="I7" s="10" t="str">
        <x:f>IF(C39="","",C39)</x:f>
      </x:c>
      <x:c r="J7" s="4" t="str">
        <x:f>IFERROR($C$39/$B$39,"")</x:f>
      </x:c>
      <x:c r="O7" s="1"/>
    </x:row>
    <x:row r="8" ht="16.5">
      <x:c r="A8" s="171" t="n">
        <x:v>46357</x:v>
      </x:c>
      <x:c r="B8" s="52" t="str">
        <x:f>IF(SUM(C8:F8)=0,"",SUM(C8:F8))</x:f>
      </x:c>
      <x:c r="C8" s="53"/>
      <x:c r="D8" s="54"/>
      <x:c r="E8" s="54"/>
      <x:c r="F8" s="54"/>
      <x:c r="G8" s="1"/>
      <x:c r="H8" s="3" t="str">
        <x:f>D5</x:f>
        <x:v>Eldo</x:v>
      </x:c>
      <x:c r="I8" s="10" t="str">
        <x:f>IF(D39="","",D39)</x:f>
      </x:c>
      <x:c r="J8" s="4" t="str">
        <x:f>IFERROR($D$39/$B$39,"")</x:f>
      </x:c>
      <x:c r="O8" s="1"/>
    </x:row>
    <x:row r="9" ht="16.5">
      <x:c r="A9" s="171" t="n">
        <x:v>46358</x:v>
      </x:c>
      <x:c r="B9" s="52" t="str">
        <x:f t="shared" ref="B9:B38" si="0">IF(SUM(C9:F9)=0,"",SUM(C9:F9))</x:f>
      </x:c>
      <x:c r="C9" s="53"/>
      <x:c r="D9" s="54"/>
      <x:c r="E9" s="54"/>
      <x:c r="F9" s="54"/>
      <x:c r="G9" s="1"/>
      <x:c r="H9" s="3" t="str">
        <x:f>F5</x:f>
        <x:v>Clubview</x:v>
      </x:c>
      <x:c r="I9" s="10" t="str">
        <x:f>IF(F39="","",F39)</x:f>
      </x:c>
      <x:c r="J9" s="4" t="str">
        <x:f>IFERROR($F$39/$B$39,"")</x:f>
      </x:c>
      <x:c r="O9" s="1"/>
    </x:row>
    <x:row r="10" ht="16.5">
      <x:c r="A10" s="171" t="n">
        <x:v>46359</x:v>
      </x:c>
      <x:c r="B10" s="52" t="str">
        <x:f t="shared" si="0">IF(SUM(C10:F10)=0,"",SUM(C10:F10))</x:f>
      </x:c>
      <x:c r="C10" s="53"/>
      <x:c r="D10" s="54"/>
      <x:c r="E10" s="54"/>
      <x:c r="F10" s="54"/>
      <x:c r="G10" s="1"/>
      <x:c r="H10" s="39"/>
      <x:c r="I10" s="40" t="str">
        <x:f>IF(SUM(I7:I9)=0,"",SUM(I7:I9))</x:f>
      </x:c>
      <x:c r="J10" s="4" t="str">
        <x:f>IF(SUM(J7:J9)=0,"",SUM(J7:J9))</x:f>
      </x:c>
      <x:c r="K10" s="1"/>
      <x:c r="L10" s="1"/>
      <x:c r="M10" s="1"/>
      <x:c r="N10" s="1"/>
      <x:c r="O10" s="1"/>
    </x:row>
    <x:row r="11" ht="16.5">
      <x:c r="A11" s="171" t="n">
        <x:v>46360</x:v>
      </x:c>
      <x:c r="B11" s="52" t="str">
        <x:f t="shared" si="0">IF(SUM(C11:F11)=0,"",SUM(C11:F11))</x:f>
      </x:c>
      <x:c r="C11" s="53"/>
      <x:c r="D11" s="54"/>
      <x:c r="E11" s="54"/>
      <x:c r="F11" s="54"/>
      <x:c r="G11" s="1"/>
      <x:c r="H11" s="39"/>
      <x:c r="I11" s="40"/>
      <x:c r="J11" s="41"/>
      <x:c r="K11" s="1"/>
      <x:c r="L11" s="1"/>
      <x:c r="M11" s="1"/>
      <x:c r="N11" s="1"/>
      <x:c r="O11" s="1"/>
    </x:row>
    <x:row r="12" ht="16.5">
      <x:c r="A12" s="171" t="n">
        <x:v>46361</x:v>
      </x:c>
      <x:c r="B12" s="52" t="str">
        <x:f t="shared" si="0">IF(SUM(C12:F12)=0,"",SUM(C12:F12))</x:f>
      </x:c>
      <x:c r="C12" s="53"/>
      <x:c r="D12" s="54"/>
      <x:c r="E12" s="54"/>
      <x:c r="F12" s="54"/>
      <x:c r="G12" s="1"/>
      <x:c r="H12" s="1"/>
      <x:c r="I12" s="38"/>
      <x:c r="J12" s="30"/>
      <x:c r="K12" s="1"/>
      <x:c r="L12" s="1"/>
      <x:c r="M12" s="1"/>
      <x:c r="N12" s="1"/>
      <x:c r="O12" s="1"/>
    </x:row>
    <x:row r="13" ht="16.5">
      <x:c r="A13" s="171" t="n">
        <x:v>46362</x:v>
      </x:c>
      <x:c r="B13" s="52" t="str">
        <x:f t="shared" si="0">IF(SUM(C13:F13)=0,"",SUM(C13:F13))</x:f>
      </x:c>
      <x:c r="C13" s="53"/>
      <x:c r="D13" s="54"/>
      <x:c r="E13" s="54"/>
      <x:c r="F13" s="54"/>
      <x:c r="G13" s="1"/>
      <x:c r="H13" s="1"/>
      <x:c r="I13" s="1"/>
      <x:c r="J13" s="1"/>
      <x:c r="K13" s="1"/>
      <x:c r="L13" s="1"/>
      <x:c r="M13" s="1"/>
      <x:c r="N13" s="1"/>
      <x:c r="O13" s="1"/>
    </x:row>
    <x:row r="14" ht="16.5">
      <x:c r="A14" s="171" t="n">
        <x:v>46363</x:v>
      </x:c>
      <x:c r="B14" s="52" t="str">
        <x:f t="shared" si="0">IF(SUM(C14:F14)=0,"",SUM(C14:F14))</x:f>
      </x:c>
      <x:c r="C14" s="53"/>
      <x:c r="D14" s="54"/>
      <x:c r="E14" s="54"/>
      <x:c r="F14" s="54"/>
      <x:c r="G14" s="1"/>
      <x:c r="H14" s="1"/>
      <x:c r="I14" s="27"/>
      <x:c r="J14" s="28"/>
      <x:c r="K14" s="1"/>
      <x:c r="L14" s="1"/>
      <x:c r="M14" s="1"/>
      <x:c r="N14" s="1"/>
      <x:c r="O14" s="1"/>
    </x:row>
    <x:row r="15" ht="16.5">
      <x:c r="A15" s="171" t="n">
        <x:v>46364</x:v>
      </x:c>
      <x:c r="B15" s="52" t="str">
        <x:f t="shared" si="0">IF(SUM(C15:F15)=0,"",SUM(C15:F15))</x:f>
      </x:c>
      <x:c r="C15" s="53"/>
      <x:c r="D15" s="54"/>
      <x:c r="E15" s="54"/>
      <x:c r="F15" s="54"/>
      <x:c r="G15" s="1"/>
      <x:c r="H15" s="1"/>
      <x:c r="I15" s="1"/>
      <x:c r="J15" s="1"/>
      <x:c r="K15" s="1"/>
      <x:c r="L15" s="1"/>
      <x:c r="M15" s="1"/>
      <x:c r="N15" s="1"/>
      <x:c r="O15" s="1"/>
    </x:row>
    <x:row r="16" ht="16.5">
      <x:c r="A16" s="171" t="n">
        <x:v>46365</x:v>
      </x:c>
      <x:c r="B16" s="52" t="str">
        <x:f t="shared" si="0">IF(SUM(C16:F16)=0,"",SUM(C16:F16))</x:f>
      </x:c>
      <x:c r="C16" s="53"/>
      <x:c r="D16" s="54"/>
      <x:c r="E16" s="54"/>
      <x:c r="F16" s="54"/>
      <x:c r="G16" s="1"/>
      <x:c r="H16" s="1"/>
      <x:c r="I16" s="1"/>
      <x:c r="J16" s="1"/>
      <x:c r="K16" s="1"/>
      <x:c r="L16" s="1"/>
      <x:c r="M16" s="1"/>
      <x:c r="N16" s="1"/>
      <x:c r="O16" s="1"/>
    </x:row>
    <x:row r="17" ht="16.5">
      <x:c r="A17" s="171" t="n">
        <x:v>46366</x:v>
      </x:c>
      <x:c r="B17" s="52" t="str">
        <x:f t="shared" si="0">IF(SUM(C17:F17)=0,"",SUM(C17:F17))</x:f>
      </x:c>
      <x:c r="C17" s="53"/>
      <x:c r="D17" s="54"/>
      <x:c r="E17" s="54"/>
      <x:c r="F17" s="54"/>
      <x:c r="G17" s="1"/>
      <x:c r="H17" s="1"/>
      <x:c r="I17" s="1"/>
      <x:c r="J17" s="1"/>
      <x:c r="K17" s="1"/>
      <x:c r="L17" s="1"/>
      <x:c r="M17" s="1"/>
      <x:c r="N17" s="1"/>
      <x:c r="O17" s="1"/>
    </x:row>
    <x:row r="18" ht="16.5">
      <x:c r="A18" s="171" t="n">
        <x:v>46367</x:v>
      </x:c>
      <x:c r="B18" s="52" t="str">
        <x:f t="shared" si="0">IF(SUM(C18:F18)=0,"",SUM(C18:F18))</x:f>
      </x:c>
      <x:c r="C18" s="53"/>
      <x:c r="D18" s="54"/>
      <x:c r="E18" s="54"/>
      <x:c r="F18" s="54"/>
      <x:c r="G18" s="1"/>
      <x:c r="H18" s="1"/>
      <x:c r="I18" s="1"/>
      <x:c r="J18" s="1"/>
      <x:c r="K18" s="1"/>
      <x:c r="L18" s="1"/>
      <x:c r="M18" s="1"/>
      <x:c r="N18" s="1"/>
      <x:c r="O18" s="1"/>
    </x:row>
    <x:row r="19" ht="16.5">
      <x:c r="A19" s="171" t="n">
        <x:v>46368</x:v>
      </x:c>
      <x:c r="B19" s="52" t="str">
        <x:f t="shared" si="0">IF(SUM(C19:F19)=0,"",SUM(C19:F19))</x:f>
      </x:c>
      <x:c r="C19" s="53"/>
      <x:c r="D19" s="54"/>
      <x:c r="E19" s="54"/>
      <x:c r="F19" s="54"/>
      <x:c r="G19" s="1"/>
      <x:c r="H19" s="1"/>
      <x:c r="I19" s="1"/>
      <x:c r="J19" s="1"/>
      <x:c r="K19" s="1"/>
      <x:c r="L19" s="1"/>
      <x:c r="M19" s="1"/>
      <x:c r="N19" s="1"/>
      <x:c r="O19" s="1"/>
    </x:row>
    <x:row r="20" ht="16.5">
      <x:c r="A20" s="171" t="n">
        <x:v>46369</x:v>
      </x:c>
      <x:c r="B20" s="52" t="str">
        <x:f t="shared" si="0">IF(SUM(C20:F20)=0,"",SUM(C20:F20))</x:f>
      </x:c>
      <x:c r="C20" s="53"/>
      <x:c r="D20" s="54"/>
      <x:c r="E20" s="54"/>
      <x:c r="F20" s="54"/>
      <x:c r="G20" s="1"/>
      <x:c r="H20" s="1"/>
      <x:c r="I20" s="1"/>
      <x:c r="J20" s="1"/>
      <x:c r="K20" s="1"/>
      <x:c r="L20" s="1"/>
      <x:c r="M20" s="1"/>
      <x:c r="N20" s="1"/>
      <x:c r="O20" s="1"/>
    </x:row>
    <x:row r="21" ht="16.5">
      <x:c r="A21" s="171" t="n">
        <x:v>46370</x:v>
      </x:c>
      <x:c r="B21" s="52" t="str">
        <x:f t="shared" si="0">IF(SUM(C21:F21)=0,"",SUM(C21:F21))</x:f>
      </x:c>
      <x:c r="C21" s="53"/>
      <x:c r="D21" s="54"/>
      <x:c r="E21" s="54"/>
      <x:c r="F21" s="54"/>
      <x:c r="G21" s="1"/>
      <x:c r="H21" s="1"/>
      <x:c r="I21" s="1"/>
      <x:c r="J21" s="1"/>
      <x:c r="K21" s="1"/>
      <x:c r="L21" s="1"/>
      <x:c r="M21" s="1"/>
      <x:c r="N21" s="1"/>
      <x:c r="O21" s="1"/>
    </x:row>
    <x:row r="22" ht="16.5">
      <x:c r="A22" s="171" t="n">
        <x:v>46371</x:v>
      </x:c>
      <x:c r="B22" s="52" t="str">
        <x:f t="shared" si="0">IF(SUM(C22:F22)=0,"",SUM(C22:F22))</x:f>
      </x:c>
      <x:c r="C22" s="53"/>
      <x:c r="D22" s="54"/>
      <x:c r="E22" s="54"/>
      <x:c r="F22" s="54"/>
      <x:c r="G22" s="1"/>
      <x:c r="H22" s="1"/>
      <x:c r="I22" s="1"/>
      <x:c r="J22" s="1"/>
      <x:c r="K22" s="1"/>
      <x:c r="L22" s="1"/>
      <x:c r="M22" s="1"/>
      <x:c r="N22" s="1"/>
      <x:c r="O22" s="1"/>
    </x:row>
    <x:row r="23" ht="16.5">
      <x:c r="A23" s="171" t="n">
        <x:v>46372</x:v>
      </x:c>
      <x:c r="B23" s="52" t="str">
        <x:f t="shared" si="0">IF(SUM(C23:F23)=0,"",SUM(C23:F23))</x:f>
      </x:c>
      <x:c r="C23" s="53"/>
      <x:c r="D23" s="54"/>
      <x:c r="E23" s="54"/>
      <x:c r="F23" s="54"/>
      <x:c r="G23" s="1"/>
      <x:c r="H23" s="1"/>
      <x:c r="I23" s="1"/>
      <x:c r="J23" s="1"/>
      <x:c r="K23" s="1"/>
      <x:c r="L23" s="1"/>
      <x:c r="M23" s="1"/>
      <x:c r="N23" s="1"/>
      <x:c r="O23" s="1"/>
    </x:row>
    <x:row r="24" ht="16.5">
      <x:c r="A24" s="171" t="n">
        <x:v>46373</x:v>
      </x:c>
      <x:c r="B24" s="52" t="str">
        <x:f t="shared" si="0">IF(SUM(C24:F24)=0,"",SUM(C24:F24))</x:f>
      </x:c>
      <x:c r="C24" s="53"/>
      <x:c r="D24" s="54"/>
      <x:c r="E24" s="54"/>
      <x:c r="F24" s="54"/>
      <x:c r="G24" s="1"/>
      <x:c r="H24" s="1"/>
      <x:c r="I24" s="1"/>
      <x:c r="J24" s="1"/>
      <x:c r="K24" s="1"/>
      <x:c r="L24" s="1"/>
      <x:c r="M24" s="1"/>
      <x:c r="N24" s="1"/>
      <x:c r="O24" s="1"/>
    </x:row>
    <x:row r="25" ht="16.5">
      <x:c r="A25" s="171" t="n">
        <x:v>46374</x:v>
      </x:c>
      <x:c r="B25" s="52" t="str">
        <x:f t="shared" si="0">IF(SUM(C25:F25)=0,"",SUM(C25:F25))</x:f>
      </x:c>
      <x:c r="C25" s="53"/>
      <x:c r="D25" s="54"/>
      <x:c r="E25" s="54"/>
      <x:c r="F25" s="54"/>
      <x:c r="G25" s="1"/>
      <x:c r="H25" s="34"/>
      <x:c r="I25" s="34"/>
      <x:c r="J25" s="34"/>
      <x:c r="K25" s="1"/>
      <x:c r="L25" s="1"/>
      <x:c r="M25" s="1"/>
      <x:c r="N25" s="1"/>
      <x:c r="O25" s="1"/>
    </x:row>
    <x:row r="26" ht="16.5">
      <x:c r="A26" s="171" t="n">
        <x:v>46375</x:v>
      </x:c>
      <x:c r="B26" s="52" t="str">
        <x:f t="shared" si="0">IF(SUM(C26:F26)=0,"",SUM(C26:F26))</x:f>
      </x:c>
      <x:c r="C26" s="53"/>
      <x:c r="D26" s="54"/>
      <x:c r="E26" s="54"/>
      <x:c r="F26" s="54"/>
      <x:c r="G26" s="1"/>
      <x:c r="H26" s="33"/>
      <x:c r="I26" s="33"/>
      <x:c r="J26" s="33"/>
      <x:c r="K26" s="1"/>
      <x:c r="L26" s="1"/>
      <x:c r="M26" s="1"/>
      <x:c r="N26" s="1"/>
      <x:c r="O26" s="1"/>
    </x:row>
    <x:row r="27" ht="16.5">
      <x:c r="A27" s="171" t="n">
        <x:v>46376</x:v>
      </x:c>
      <x:c r="B27" s="52" t="str">
        <x:f t="shared" si="0">IF(SUM(C27:F27)=0,"",SUM(C27:F27))</x:f>
      </x:c>
      <x:c r="C27" s="53"/>
      <x:c r="D27" s="54"/>
      <x:c r="E27" s="54"/>
      <x:c r="F27" s="54"/>
      <x:c r="G27" s="1"/>
      <x:c r="H27" s="34"/>
      <x:c r="I27" s="35"/>
      <x:c r="J27" s="36"/>
      <x:c r="K27" s="1"/>
      <x:c r="L27" s="1"/>
      <x:c r="M27" s="1"/>
      <x:c r="N27" s="1"/>
      <x:c r="O27" s="1"/>
    </x:row>
    <x:row r="28" ht="16.5">
      <x:c r="A28" s="171" t="n">
        <x:v>46377</x:v>
      </x:c>
      <x:c r="B28" s="52" t="str">
        <x:f t="shared" si="0">IF(SUM(C28:F28)=0,"",SUM(C28:F28))</x:f>
      </x:c>
      <x:c r="C28" s="53"/>
      <x:c r="D28" s="54"/>
      <x:c r="E28" s="54"/>
      <x:c r="F28" s="54"/>
      <x:c r="G28" s="1"/>
      <x:c r="H28" s="34"/>
      <x:c r="I28" s="37"/>
      <x:c r="J28" s="36"/>
      <x:c r="K28" s="1"/>
      <x:c r="L28" s="1"/>
      <x:c r="M28" s="1"/>
      <x:c r="N28" s="1"/>
      <x:c r="O28" s="1"/>
    </x:row>
    <x:row r="29" ht="16.5">
      <x:c r="A29" s="171" t="n">
        <x:v>46378</x:v>
      </x:c>
      <x:c r="B29" s="52" t="str">
        <x:f t="shared" si="0">IF(SUM(C29:F29)=0,"",SUM(C29:F29))</x:f>
      </x:c>
      <x:c r="C29" s="55"/>
      <x:c r="D29" s="56"/>
      <x:c r="E29" s="56"/>
      <x:c r="F29" s="56"/>
      <x:c r="G29" s="1"/>
      <x:c r="H29" s="1"/>
      <x:c r="I29" s="29"/>
      <x:c r="J29" s="30"/>
      <x:c r="K29" s="1"/>
      <x:c r="L29" s="1"/>
      <x:c r="M29" s="1"/>
      <x:c r="N29" s="1"/>
      <x:c r="O29" s="1"/>
    </x:row>
    <x:row r="30" ht="16.5">
      <x:c r="A30" s="171" t="n">
        <x:v>46379</x:v>
      </x:c>
      <x:c r="B30" s="52" t="str">
        <x:f t="shared" si="0">IF(SUM(C30:F30)=0,"",SUM(C30:F30))</x:f>
      </x:c>
      <x:c r="C30" s="53"/>
      <x:c r="D30" s="54"/>
      <x:c r="E30" s="54"/>
      <x:c r="F30" s="54"/>
      <x:c r="G30" s="1"/>
      <x:c r="H30" s="1"/>
      <x:c r="I30" s="31"/>
      <x:c r="J30" s="30"/>
      <x:c r="K30" s="1"/>
      <x:c r="L30" s="1"/>
      <x:c r="M30" s="1"/>
      <x:c r="N30" s="1"/>
      <x:c r="O30" s="1"/>
    </x:row>
    <x:row r="31" ht="16.5">
      <x:c r="A31" s="171" t="n">
        <x:v>46380</x:v>
      </x:c>
      <x:c r="B31" s="52" t="str">
        <x:f t="shared" si="0">IF(SUM(C31:F31)=0,"",SUM(C31:F31))</x:f>
      </x:c>
      <x:c r="C31" s="53"/>
      <x:c r="D31" s="54"/>
      <x:c r="E31" s="54"/>
      <x:c r="F31" s="54"/>
      <x:c r="G31" s="1"/>
      <x:c r="H31" s="1"/>
      <x:c r="I31" s="29"/>
      <x:c r="J31" s="30"/>
      <x:c r="K31" s="1"/>
      <x:c r="L31" s="1"/>
      <x:c r="M31" s="1"/>
      <x:c r="N31" s="1"/>
      <x:c r="O31" s="1"/>
    </x:row>
    <x:row r="32" ht="16.5">
      <x:c r="A32" s="171" t="n">
        <x:v>46381</x:v>
      </x:c>
      <x:c r="B32" s="52" t="str">
        <x:f t="shared" si="0">IF(SUM(C32:F32)=0,"",SUM(C32:F32))</x:f>
      </x:c>
      <x:c r="C32" s="53"/>
      <x:c r="D32" s="54"/>
      <x:c r="E32" s="54"/>
      <x:c r="F32" s="54"/>
      <x:c r="G32" s="1"/>
      <x:c r="H32" s="1"/>
      <x:c r="I32" s="31"/>
      <x:c r="J32" s="30"/>
      <x:c r="K32" s="1"/>
      <x:c r="L32" s="1"/>
      <x:c r="M32" s="1"/>
      <x:c r="N32" s="1"/>
      <x:c r="O32" s="1"/>
    </x:row>
    <x:row r="33" ht="16.5">
      <x:c r="A33" s="171" t="n">
        <x:v>46382</x:v>
      </x:c>
      <x:c r="B33" s="52" t="str">
        <x:f t="shared" si="0">IF(SUM(C33:F33)=0,"",SUM(C33:F33))</x:f>
      </x:c>
      <x:c r="C33" s="53"/>
      <x:c r="D33" s="54"/>
      <x:c r="E33" s="54"/>
      <x:c r="F33" s="54"/>
      <x:c r="G33" s="1"/>
      <x:c r="H33" s="1"/>
      <x:c r="I33" s="32"/>
      <x:c r="J33" s="30"/>
      <x:c r="K33" s="1"/>
      <x:c r="L33" s="1"/>
      <x:c r="M33" s="1"/>
      <x:c r="N33" s="1"/>
      <x:c r="O33" s="1"/>
    </x:row>
    <x:row r="34" ht="16.5">
      <x:c r="A34" s="171" t="n">
        <x:v>46383</x:v>
      </x:c>
      <x:c r="B34" s="52" t="str">
        <x:f t="shared" si="0">IF(SUM(C34:F34)=0,"",SUM(C34:F34))</x:f>
      </x:c>
      <x:c r="C34" s="53"/>
      <x:c r="D34" s="54"/>
      <x:c r="E34" s="54"/>
      <x:c r="F34" s="54"/>
      <x:c r="G34" s="1"/>
      <x:c r="H34" s="1"/>
      <x:c r="I34" s="1"/>
      <x:c r="J34" s="1"/>
      <x:c r="K34" s="1"/>
      <x:c r="L34" s="1"/>
      <x:c r="M34" s="1"/>
      <x:c r="N34" s="1"/>
      <x:c r="O34" s="1"/>
    </x:row>
    <x:row r="35" ht="16.5">
      <x:c r="A35" s="171" t="n">
        <x:v>46384</x:v>
      </x:c>
      <x:c r="B35" s="52" t="str">
        <x:f t="shared" si="0">IF(SUM(C35:F35)=0,"",SUM(C35:F35))</x:f>
      </x:c>
      <x:c r="C35" s="53"/>
      <x:c r="D35" s="54"/>
      <x:c r="E35" s="54"/>
      <x:c r="F35" s="54"/>
      <x:c r="G35" s="1"/>
      <x:c r="H35" s="1"/>
      <x:c r="I35" s="1"/>
      <x:c r="J35" s="1"/>
      <x:c r="K35" s="1"/>
      <x:c r="L35" s="1"/>
      <x:c r="M35" s="1"/>
      <x:c r="N35" s="1"/>
      <x:c r="O35" s="1"/>
    </x:row>
    <x:row r="36" ht="16.5">
      <x:c r="A36" s="171" t="n">
        <x:v>46385</x:v>
      </x:c>
      <x:c r="B36" s="52" t="str">
        <x:f t="shared" si="0">IF(SUM(C36:F36)=0,"",SUM(C36:F36))</x:f>
      </x:c>
      <x:c r="C36" s="53"/>
      <x:c r="D36" s="54"/>
      <x:c r="E36" s="54"/>
      <x:c r="F36" s="54"/>
      <x:c r="G36" s="1"/>
      <x:c r="H36" s="1"/>
      <x:c r="I36" s="1"/>
      <x:c r="J36" s="1"/>
      <x:c r="K36" s="1"/>
      <x:c r="L36" s="1"/>
      <x:c r="M36" s="1"/>
      <x:c r="N36" s="1"/>
      <x:c r="O36" s="1"/>
    </x:row>
    <x:row r="37" ht="16.5">
      <x:c r="A37" s="171" t="n">
        <x:v>46386</x:v>
      </x:c>
      <x:c r="B37" s="52" t="str">
        <x:f t="shared" si="0">IF(SUM(C37:F37)=0,"",SUM(C37:F37))</x:f>
      </x:c>
      <x:c r="C37" s="53"/>
      <x:c r="D37" s="54"/>
      <x:c r="E37" s="54"/>
      <x:c r="F37" s="54"/>
      <x:c r="G37" s="1"/>
      <x:c r="H37" s="1"/>
      <x:c r="I37" s="1"/>
      <x:c r="J37" s="1"/>
      <x:c r="K37" s="1"/>
      <x:c r="L37" s="1"/>
      <x:c r="M37" s="1"/>
      <x:c r="N37" s="1"/>
      <x:c r="O37" s="1"/>
    </x:row>
    <x:row r="38" ht="16.5">
      <x:c r="A38" s="171" t="n">
        <x:v>46387</x:v>
      </x:c>
      <x:c r="B38" s="52" t="str">
        <x:f t="shared" si="0">IF(SUM(C38:F38)=0,"",SUM(C38:F38))</x:f>
      </x:c>
      <x:c r="C38" s="53"/>
      <x:c r="D38" s="54"/>
      <x:c r="E38" s="54"/>
      <x:c r="F38" s="54"/>
      <x:c r="G38" s="1"/>
      <x:c r="H38" s="1"/>
      <x:c r="I38" s="1"/>
      <x:c r="J38" s="1"/>
      <x:c r="K38" s="1"/>
      <x:c r="L38" s="1"/>
      <x:c r="M38" s="1"/>
      <x:c r="N38" s="1"/>
      <x:c r="O38" s="1"/>
    </x:row>
    <x:row r="39" ht="16.5">
      <x:c r="A39" s="51"/>
      <x:c r="B39" s="57" t="str">
        <x:f>IF(SUM(B8:B38)=0,"",SUM(B8:B38))</x:f>
      </x:c>
      <x:c r="C39" s="58" t="str">
        <x:f>IF(SUM(C8:C38)=0,"",SUM(C8:C38))</x:f>
      </x:c>
      <x:c r="D39" s="59" t="str">
        <x:f>IF(SUM(D8:D38)=0,"",SUM(D8:D38))</x:f>
      </x:c>
      <x:c r="E39" s="59" t="str">
        <x:f>IF(SUM(E8:E38)=0,"",SUM(E8:E38))</x:f>
      </x:c>
      <x:c r="F39" s="59" t="str">
        <x:f>IF(SUM(F8:F38)=0,"",SUM(F8:F38))</x:f>
      </x:c>
      <x:c r="G39" s="1"/>
      <x:c r="H39" s="1"/>
      <x:c r="I39" s="1"/>
      <x:c r="J39" s="1"/>
      <x:c r="K39" s="1"/>
      <x:c r="L39" s="1"/>
      <x:c r="M39" s="1"/>
      <x:c r="N39" s="1"/>
      <x:c r="O39" s="1"/>
    </x:row>
    <x:row r="40" ht="16.5">
      <x:c r="B40" s="11"/>
      <x:c r="C40" s="1"/>
      <x:c r="D40" s="19"/>
      <x:c r="E40" s="19"/>
      <x:c r="F40" s="19"/>
      <x:c r="G40" s="1"/>
      <x:c r="H40" s="1"/>
      <x:c r="I40" s="1"/>
      <x:c r="J40" s="1"/>
      <x:c r="K40" s="1"/>
      <x:c r="L40" s="1"/>
      <x:c r="M40" s="1"/>
      <x:c r="N40" s="1"/>
      <x:c r="O40" s="1"/>
    </x:row>
    <x:row r="41" ht="16.5">
      <x:c r="B41" s="11"/>
      <x:c r="C41" s="1"/>
      <x:c r="D41" s="19"/>
      <x:c r="E41" s="19"/>
      <x:c r="F41" s="19"/>
      <x:c r="G41" s="1"/>
      <x:c r="H41" s="1"/>
      <x:c r="I41" s="1"/>
      <x:c r="J41" s="1"/>
      <x:c r="K41" s="1"/>
      <x:c r="L41" s="1"/>
      <x:c r="M41" s="1"/>
      <x:c r="N41" s="1"/>
      <x:c r="O41" s="1"/>
    </x:row>
    <x:row r="42" ht="16.5">
      <x:c r="B42" s="11"/>
      <x:c r="C42" s="27"/>
      <x:c r="D42" s="19"/>
      <x:c r="E42" s="19"/>
      <x:c r="F42" s="19"/>
      <x:c r="G42" s="1"/>
      <x:c r="H42" s="1"/>
      <x:c r="I42" s="1"/>
      <x:c r="J42" s="1"/>
      <x:c r="K42" s="1"/>
      <x:c r="L42" s="1"/>
      <x:c r="M42" s="1"/>
      <x:c r="N42" s="1"/>
      <x:c r="O42" s="1"/>
    </x:row>
    <x:row r="43" ht="16.5">
      <x:c r="B43" s="11"/>
      <x:c r="C43" s="27"/>
      <x:c r="D43" s="19"/>
      <x:c r="E43" s="19"/>
      <x:c r="F43" s="19"/>
      <x:c r="G43" s="1"/>
      <x:c r="H43" s="1"/>
      <x:c r="I43" s="1"/>
      <x:c r="J43" s="1"/>
      <x:c r="K43" s="1"/>
      <x:c r="L43" s="1"/>
      <x:c r="M43" s="1"/>
      <x:c r="N43" s="1"/>
      <x:c r="O43" s="1"/>
    </x:row>
    <x:row r="44" ht="16.5">
      <x:c r="B44" s="11"/>
      <x:c r="C44" s="27"/>
      <x:c r="D44" s="19"/>
      <x:c r="E44" s="19"/>
      <x:c r="F44" s="19"/>
      <x:c r="G44" s="1"/>
      <x:c r="H44" s="1"/>
      <x:c r="I44" s="1"/>
      <x:c r="J44" s="1"/>
      <x:c r="K44" s="1"/>
      <x:c r="L44" s="1"/>
      <x:c r="M44" s="1"/>
      <x:c r="N44" s="1"/>
      <x:c r="O44" s="1"/>
    </x:row>
    <x:row r="45" ht="16.5">
      <x:c r="B45" s="11"/>
      <x:c r="C45" s="1"/>
      <x:c r="D45" s="19"/>
      <x:c r="E45" s="19"/>
      <x:c r="F45" s="19"/>
      <x:c r="G45" s="1"/>
      <x:c r="H45" s="1"/>
      <x:c r="I45" s="1"/>
      <x:c r="J45" s="1"/>
      <x:c r="K45" s="1"/>
      <x:c r="L45" s="1"/>
      <x:c r="M45" s="1"/>
      <x:c r="N45" s="1"/>
      <x:c r="O45" s="1"/>
    </x:row>
    <x:row r="46" ht="16.5">
      <x:c r="B46" s="11"/>
      <x:c r="C46" s="1"/>
      <x:c r="D46" s="19"/>
      <x:c r="E46" s="19"/>
      <x:c r="F46" s="19"/>
      <x:c r="G46" s="1"/>
      <x:c r="H46" s="1"/>
      <x:c r="I46" s="1"/>
      <x:c r="J46" s="1"/>
      <x:c r="K46" s="1"/>
      <x:c r="L46" s="1"/>
      <x:c r="M46" s="1"/>
      <x:c r="N46" s="1"/>
      <x:c r="O46" s="1"/>
    </x:row>
    <x:row r="47" ht="16.5">
      <x:c r="B47" s="11"/>
      <x:c r="C47" s="1"/>
      <x:c r="D47" s="19"/>
      <x:c r="E47" s="19"/>
      <x:c r="F47" s="19"/>
      <x:c r="G47" s="1"/>
      <x:c r="H47" s="1"/>
      <x:c r="I47" s="1"/>
      <x:c r="J47" s="1"/>
      <x:c r="K47" s="1"/>
      <x:c r="L47" s="1"/>
      <x:c r="M47" s="1"/>
      <x:c r="N47" s="1"/>
      <x:c r="O47" s="1"/>
    </x:row>
    <x:row r="48" ht="16.5">
      <x:c r="B48" s="11"/>
      <x:c r="C48" s="1"/>
      <x:c r="D48" s="19"/>
      <x:c r="E48" s="19"/>
      <x:c r="F48" s="19"/>
      <x:c r="G48" s="1"/>
      <x:c r="H48" s="1"/>
      <x:c r="I48" s="1"/>
      <x:c r="J48" s="1"/>
      <x:c r="K48" s="1"/>
      <x:c r="L48" s="1"/>
      <x:c r="M48" s="1"/>
      <x:c r="N48" s="1"/>
      <x:c r="O48" s="1"/>
    </x:row>
    <x:row r="49" ht="16.5">
      <x:c r="A49"/>
      <x:c r="B49" s="11"/>
      <x:c r="C49" s="1"/>
      <x:c r="D49" s="19"/>
      <x:c r="E49" s="19"/>
      <x:c r="F49" s="19"/>
      <x:c r="G49" s="1"/>
      <x:c r="H49" s="1"/>
      <x:c r="I49" s="1"/>
      <x:c r="J49" s="1"/>
      <x:c r="K49" s="1"/>
      <x:c r="L49" s="1"/>
      <x:c r="M49" s="1"/>
      <x:c r="N49" s="1"/>
      <x:c r="O49" s="1"/>
    </x:row>
    <x:row r="50" ht="16.5">
      <x:c r="A50"/>
      <x:c r="B50" s="11"/>
      <x:c r="C50" s="1"/>
      <x:c r="D50" s="19"/>
      <x:c r="E50" s="19"/>
      <x:c r="F50" s="19"/>
      <x:c r="G50" s="1"/>
      <x:c r="H50" s="1"/>
      <x:c r="I50" s="1"/>
      <x:c r="J50" s="1"/>
      <x:c r="K50" s="1"/>
      <x:c r="L50" s="1"/>
      <x:c r="M50" s="1"/>
      <x:c r="N50" s="1"/>
      <x:c r="O50" s="1"/>
    </x:row>
    <x:row r="51" ht="16.5">
      <x:c r="A51"/>
      <x:c r="B51" s="11"/>
      <x:c r="C51" s="1"/>
      <x:c r="D51" s="19"/>
      <x:c r="E51" s="19"/>
      <x:c r="F51" s="19"/>
      <x:c r="G51" s="1"/>
      <x:c r="H51" s="1"/>
      <x:c r="I51" s="1"/>
      <x:c r="J51" s="1"/>
      <x:c r="K51" s="1"/>
      <x:c r="L51" s="1"/>
      <x:c r="M51" s="1"/>
      <x:c r="N51" s="1"/>
      <x:c r="O51" s="1"/>
    </x:row>
    <x:row r="52" ht="16.5">
      <x:c r="A52"/>
      <x:c r="B52" s="11"/>
      <x:c r="C52" s="1"/>
      <x:c r="D52" s="19"/>
      <x:c r="E52" s="19"/>
      <x:c r="F52" s="19"/>
      <x:c r="G52" s="1"/>
      <x:c r="H52" s="1"/>
      <x:c r="I52" s="1"/>
      <x:c r="J52" s="1"/>
      <x:c r="K52" s="1"/>
      <x:c r="L52" s="1"/>
      <x:c r="M52" s="1"/>
      <x:c r="N52" s="1"/>
      <x:c r="O52" s="1"/>
    </x:row>
    <x:row r="53" ht="16.5">
      <x:c r="A53"/>
      <x:c r="B53" s="11"/>
      <x:c r="C53" s="1"/>
      <x:c r="D53" s="19"/>
      <x:c r="E53" s="19"/>
      <x:c r="F53" s="19"/>
      <x:c r="G53" s="1"/>
      <x:c r="H53" s="1"/>
      <x:c r="I53" s="1"/>
      <x:c r="J53" s="1"/>
      <x:c r="K53" s="1"/>
      <x:c r="L53" s="1"/>
      <x:c r="M53" s="1"/>
      <x:c r="N53" s="1"/>
      <x:c r="O53" s="1"/>
    </x:row>
    <x:row r="54" ht="16.5">
      <x:c r="A54"/>
      <x:c r="B54" s="11"/>
      <x:c r="C54" s="1"/>
      <x:c r="D54" s="19"/>
      <x:c r="E54" s="19"/>
      <x:c r="F54" s="19"/>
      <x:c r="G54" s="1"/>
      <x:c r="H54" s="1"/>
      <x:c r="I54" s="1"/>
      <x:c r="J54" s="1"/>
      <x:c r="K54" s="1"/>
      <x:c r="L54" s="1"/>
      <x:c r="M54" s="1"/>
      <x:c r="N54" s="1"/>
      <x:c r="O54" s="1"/>
    </x:row>
    <x:row r="55" ht="16.5">
      <x:c r="A55"/>
      <x:c r="B55" s="11"/>
      <x:c r="C55" s="1"/>
      <x:c r="D55" s="19"/>
      <x:c r="E55" s="19"/>
      <x:c r="F55" s="19"/>
      <x:c r="G55" s="1"/>
      <x:c r="H55" s="1"/>
      <x:c r="I55" s="1"/>
      <x:c r="J55" s="1"/>
      <x:c r="K55" s="1"/>
      <x:c r="L55" s="1"/>
      <x:c r="M55" s="1"/>
      <x:c r="N55" s="1"/>
      <x:c r="O55" s="1"/>
    </x:row>
    <x:row r="56" ht="16.5">
      <x:c r="A56"/>
      <x:c r="B56" s="11"/>
      <x:c r="C56" s="1"/>
      <x:c r="D56" s="19"/>
      <x:c r="E56" s="19"/>
      <x:c r="F56" s="19"/>
      <x:c r="G56" s="1"/>
      <x:c r="H56" s="1"/>
      <x:c r="I56" s="1"/>
      <x:c r="J56" s="1"/>
      <x:c r="K56" s="1"/>
      <x:c r="L56" s="1"/>
      <x:c r="M56" s="1"/>
      <x:c r="N56" s="1"/>
      <x:c r="O56" s="1"/>
    </x:row>
    <x:row r="57" ht="16.5">
      <x:c r="A57"/>
      <x:c r="B57" s="11"/>
      <x:c r="C57" s="1"/>
      <x:c r="D57" s="19"/>
      <x:c r="E57" s="19"/>
      <x:c r="F57" s="19"/>
      <x:c r="G57" s="1"/>
      <x:c r="H57" s="1"/>
      <x:c r="I57" s="1"/>
      <x:c r="J57" s="1"/>
      <x:c r="K57" s="1"/>
      <x:c r="L57" s="1"/>
      <x:c r="M57" s="1"/>
      <x:c r="N57" s="1"/>
      <x:c r="O57" s="1"/>
    </x:row>
    <x:row r="58" ht="16.5">
      <x:c r="A58"/>
      <x:c r="B58" s="11"/>
      <x:c r="C58" s="1"/>
      <x:c r="D58" s="19"/>
      <x:c r="E58" s="19"/>
      <x:c r="F58" s="19"/>
      <x:c r="G58" s="1"/>
      <x:c r="H58" s="1"/>
      <x:c r="I58" s="1"/>
      <x:c r="J58" s="1"/>
      <x:c r="K58" s="1"/>
      <x:c r="L58" s="1"/>
      <x:c r="M58" s="1"/>
      <x:c r="N58" s="1"/>
      <x:c r="O58" s="1"/>
    </x:row>
    <x:row r="59" ht="16.5">
      <x:c r="A59"/>
      <x:c r="B59" s="11"/>
      <x:c r="C59" s="1"/>
      <x:c r="D59" s="19"/>
      <x:c r="E59" s="19"/>
      <x:c r="F59" s="19"/>
      <x:c r="G59" s="1"/>
      <x:c r="H59" s="1"/>
      <x:c r="I59" s="1"/>
      <x:c r="J59" s="1"/>
      <x:c r="K59" s="1"/>
      <x:c r="L59" s="1"/>
      <x:c r="M59" s="1"/>
      <x:c r="N59" s="1"/>
      <x:c r="O59" s="1"/>
    </x:row>
    <x:row r="60" ht="16.5">
      <x:c r="A60"/>
      <x:c r="B60" s="11"/>
      <x:c r="C60" s="1"/>
      <x:c r="D60" s="19"/>
      <x:c r="E60" s="19"/>
      <x:c r="F60" s="19"/>
      <x:c r="G60" s="1"/>
      <x:c r="H60" s="1"/>
      <x:c r="I60" s="1"/>
      <x:c r="J60" s="1"/>
      <x:c r="K60" s="1"/>
      <x:c r="L60" s="1"/>
      <x:c r="M60" s="1"/>
      <x:c r="N60" s="1"/>
      <x:c r="O60" s="1"/>
    </x:row>
    <x:row r="61" ht="16.5">
      <x:c r="A61"/>
      <x:c r="B61" s="11"/>
      <x:c r="C61" s="1"/>
      <x:c r="D61" s="19"/>
      <x:c r="E61" s="19"/>
      <x:c r="F61" s="19"/>
      <x:c r="G61" s="1"/>
      <x:c r="H61" s="1"/>
      <x:c r="I61" s="1"/>
      <x:c r="J61" s="1"/>
      <x:c r="K61" s="1"/>
      <x:c r="L61" s="1"/>
      <x:c r="M61" s="1"/>
      <x:c r="N61" s="1"/>
      <x:c r="O61" s="1"/>
    </x:row>
    <x:row r="62" ht="16.5">
      <x:c r="A62"/>
      <x:c r="B62" s="11"/>
      <x:c r="C62" s="1"/>
      <x:c r="D62" s="19"/>
      <x:c r="E62" s="19"/>
      <x:c r="F62" s="19"/>
      <x:c r="G62" s="1"/>
      <x:c r="H62" s="1"/>
      <x:c r="I62" s="1"/>
      <x:c r="J62" s="1"/>
      <x:c r="K62" s="1"/>
      <x:c r="L62" s="1"/>
      <x:c r="M62" s="1"/>
      <x:c r="N62" s="1"/>
      <x:c r="O62" s="1"/>
    </x:row>
    <x:row r="63" ht="16.5">
      <x:c r="A63"/>
      <x:c r="B63" s="11"/>
      <x:c r="C63" s="1"/>
      <x:c r="D63" s="19"/>
      <x:c r="E63" s="19"/>
      <x:c r="F63" s="19"/>
      <x:c r="G63" s="1"/>
      <x:c r="H63" s="1"/>
      <x:c r="I63" s="1"/>
      <x:c r="J63" s="1"/>
      <x:c r="K63" s="1"/>
      <x:c r="L63" s="1"/>
      <x:c r="M63" s="1"/>
      <x:c r="N63" s="1"/>
      <x:c r="O63" s="1"/>
    </x:row>
    <x:row r="64" ht="16.5">
      <x:c r="A64"/>
      <x:c r="B64" s="11"/>
      <x:c r="C64" s="1"/>
      <x:c r="D64" s="19"/>
      <x:c r="E64" s="19"/>
      <x:c r="F64" s="19"/>
      <x:c r="G64" s="1"/>
      <x:c r="H64" s="1"/>
      <x:c r="I64" s="1"/>
      <x:c r="J64" s="1"/>
      <x:c r="K64" s="1"/>
      <x:c r="L64" s="1"/>
      <x:c r="M64" s="1"/>
      <x:c r="N64" s="1"/>
      <x:c r="O64" s="1"/>
    </x:row>
    <x:row r="65" ht="16.5">
      <x:c r="A65"/>
      <x:c r="B65" s="11"/>
      <x:c r="C65" s="1"/>
      <x:c r="D65" s="19"/>
      <x:c r="E65" s="19"/>
      <x:c r="F65" s="19"/>
      <x:c r="G65" s="1"/>
      <x:c r="H65" s="1"/>
      <x:c r="I65" s="1"/>
      <x:c r="J65" s="1"/>
      <x:c r="K65" s="1"/>
      <x:c r="L65" s="1"/>
      <x:c r="M65" s="1"/>
      <x:c r="N65" s="1"/>
      <x:c r="O65" s="1"/>
    </x:row>
    <x:row r="66" ht="16.5">
      <x:c r="A66"/>
      <x:c r="B66" s="11"/>
      <x:c r="C66" s="1"/>
      <x:c r="D66" s="19"/>
      <x:c r="E66" s="19"/>
      <x:c r="F66" s="19"/>
      <x:c r="G66" s="1"/>
      <x:c r="H66" s="1"/>
      <x:c r="I66" s="1"/>
      <x:c r="J66" s="1"/>
      <x:c r="K66" s="1"/>
      <x:c r="L66" s="1"/>
      <x:c r="M66" s="1"/>
      <x:c r="N66" s="1"/>
      <x:c r="O66" s="1"/>
    </x:row>
    <x:row r="67" ht="16.5">
      <x:c r="A67"/>
      <x:c r="B67" s="11"/>
      <x:c r="C67" s="1"/>
      <x:c r="D67" s="19"/>
      <x:c r="E67" s="19"/>
      <x:c r="F67" s="19"/>
      <x:c r="G67" s="1"/>
      <x:c r="H67" s="1"/>
      <x:c r="I67" s="1"/>
      <x:c r="J67" s="1"/>
      <x:c r="K67" s="1"/>
      <x:c r="L67" s="1"/>
      <x:c r="M67" s="1"/>
      <x:c r="N67" s="1"/>
      <x:c r="O67" s="1"/>
    </x:row>
    <x:row r="68" ht="16.5">
      <x:c r="A68"/>
      <x:c r="B68" s="11"/>
      <x:c r="C68" s="1"/>
      <x:c r="D68" s="19"/>
      <x:c r="E68" s="19"/>
      <x:c r="F68" s="19"/>
      <x:c r="G68" s="1"/>
      <x:c r="H68" s="1"/>
      <x:c r="I68" s="1"/>
      <x:c r="J68" s="1"/>
      <x:c r="K68" s="1"/>
      <x:c r="L68" s="1"/>
      <x:c r="M68" s="1"/>
      <x:c r="N68" s="1"/>
      <x:c r="O68" s="1"/>
    </x:row>
    <x:row r="69" ht="16.5">
      <x:c r="A69"/>
      <x:c r="B69" s="11"/>
      <x:c r="C69" s="1"/>
      <x:c r="D69" s="19"/>
      <x:c r="E69" s="19"/>
      <x:c r="F69" s="19"/>
      <x:c r="G69" s="1"/>
      <x:c r="H69" s="1"/>
      <x:c r="I69" s="1"/>
      <x:c r="J69" s="1"/>
      <x:c r="K69" s="1"/>
      <x:c r="L69" s="1"/>
      <x:c r="M69" s="1"/>
      <x:c r="N69" s="1"/>
      <x:c r="O69" s="1"/>
    </x:row>
    <x:row r="70" ht="16.5">
      <x:c r="A70"/>
      <x:c r="B70" s="11"/>
      <x:c r="C70" s="1"/>
      <x:c r="D70" s="19"/>
      <x:c r="E70" s="19"/>
      <x:c r="F70" s="19"/>
      <x:c r="G70" s="1"/>
      <x:c r="H70" s="1"/>
      <x:c r="I70" s="1"/>
      <x:c r="J70" s="1"/>
      <x:c r="K70" s="1"/>
      <x:c r="L70" s="1"/>
      <x:c r="M70" s="1"/>
      <x:c r="N70" s="1"/>
      <x:c r="O70" s="1"/>
    </x:row>
    <x:row r="71" ht="16.5">
      <x:c r="A71"/>
      <x:c r="B71" s="11"/>
      <x:c r="C71" s="1"/>
      <x:c r="D71" s="19"/>
      <x:c r="E71" s="19"/>
      <x:c r="F71" s="19"/>
      <x:c r="G71" s="1"/>
      <x:c r="H71" s="1"/>
      <x:c r="I71" s="1"/>
      <x:c r="J71" s="1"/>
      <x:c r="K71" s="1"/>
      <x:c r="L71" s="1"/>
      <x:c r="M71" s="1"/>
      <x:c r="N71" s="1"/>
      <x:c r="O71" s="1"/>
    </x:row>
    <x:row r="72" ht="16.5">
      <x:c r="A72"/>
      <x:c r="B72" s="11"/>
      <x:c r="C72" s="1"/>
      <x:c r="D72" s="19"/>
      <x:c r="E72" s="19"/>
      <x:c r="F72" s="19"/>
      <x:c r="G72" s="1"/>
      <x:c r="H72" s="1"/>
      <x:c r="I72" s="1"/>
      <x:c r="J72" s="1"/>
      <x:c r="K72" s="1"/>
      <x:c r="L72" s="1"/>
      <x:c r="M72" s="1"/>
      <x:c r="N72" s="1"/>
      <x:c r="O72" s="1"/>
    </x:row>
    <x:row r="73" ht="16.5">
      <x:c r="A73"/>
      <x:c r="B73" s="11"/>
      <x:c r="C73" s="1"/>
      <x:c r="D73" s="19"/>
      <x:c r="E73" s="19"/>
      <x:c r="F73" s="19"/>
      <x:c r="G73" s="1"/>
      <x:c r="H73" s="1"/>
      <x:c r="I73" s="1"/>
      <x:c r="J73" s="1"/>
      <x:c r="K73" s="1"/>
      <x:c r="L73" s="1"/>
      <x:c r="M73" s="1"/>
      <x:c r="N73" s="1"/>
      <x:c r="O73" s="1"/>
    </x:row>
    <x:row r="74" ht="16.5">
      <x:c r="A74"/>
      <x:c r="B74" s="11"/>
      <x:c r="C74" s="1"/>
      <x:c r="D74" s="19"/>
      <x:c r="E74" s="19"/>
      <x:c r="F74" s="19"/>
      <x:c r="G74" s="1"/>
      <x:c r="H74" s="1"/>
      <x:c r="I74" s="1"/>
      <x:c r="J74" s="1"/>
      <x:c r="K74" s="1"/>
      <x:c r="L74" s="1"/>
      <x:c r="M74" s="1"/>
      <x:c r="N74" s="1"/>
      <x:c r="O74" s="1"/>
    </x:row>
    <x:row r="75" ht="16.5">
      <x:c r="A75"/>
      <x:c r="B75" s="11"/>
      <x:c r="C75" s="1"/>
      <x:c r="D75" s="19"/>
      <x:c r="E75" s="19"/>
      <x:c r="F75" s="19"/>
      <x:c r="G75" s="1"/>
      <x:c r="H75" s="1"/>
      <x:c r="I75" s="1"/>
      <x:c r="J75" s="1"/>
      <x:c r="K75" s="1"/>
      <x:c r="L75" s="1"/>
      <x:c r="M75" s="1"/>
      <x:c r="N75" s="1"/>
      <x:c r="O75" s="1"/>
    </x:row>
    <x:row r="76" ht="16.5">
      <x:c r="A76"/>
      <x:c r="B76" s="11"/>
      <x:c r="C76" s="1"/>
      <x:c r="D76" s="19"/>
      <x:c r="E76" s="19"/>
      <x:c r="F76" s="19"/>
      <x:c r="G76" s="1"/>
      <x:c r="H76" s="1"/>
      <x:c r="I76" s="1"/>
      <x:c r="J76" s="1"/>
      <x:c r="K76" s="1"/>
      <x:c r="L76" s="1"/>
      <x:c r="M76" s="1"/>
      <x:c r="N76" s="1"/>
      <x:c r="O76" s="1"/>
    </x:row>
    <x:row r="77" ht="16.5">
      <x:c r="A77"/>
      <x:c r="B77" s="11"/>
      <x:c r="C77" s="1"/>
      <x:c r="D77" s="19"/>
      <x:c r="E77" s="19"/>
      <x:c r="F77" s="19"/>
      <x:c r="G77" s="1"/>
      <x:c r="H77" s="1"/>
      <x:c r="I77" s="1"/>
      <x:c r="J77" s="1"/>
      <x:c r="K77" s="1"/>
      <x:c r="L77" s="1"/>
      <x:c r="M77" s="1"/>
      <x:c r="N77" s="1"/>
      <x:c r="O77" s="1"/>
    </x:row>
  </x:sheetData>
  <x:mergeCells>
    <x:mergeCell ref="H5:J5"/>
  </x:mergeCells>
  <x:pageMargins left="0.7" right="0.7" top="0.75" bottom="0.75" header="0.3" footer="0.3"/>
  <x:drawing xmlns:r="http://schemas.openxmlformats.org/officeDocument/2006/relationships" r:id="R6c486b1f8b9a41e7"/>
</x:worksheet>
</file>

<file path=xl/worksheets/sheet32.xml><?xml version="1.0" encoding="utf-8"?>
<x:worksheet xmlns:x="http://schemas.openxmlformats.org/spreadsheetml/2006/main">
  <x:sheetPr>
    <x:tabColor rgb="FFC00000"/>
  </x:sheetPr>
  <x:sheetFormatPr defaultRowHeight="15"/>
  <x:cols>
    <x:col min="1" max="1" width="16.42578125" customWidth="1"/>
    <x:col min="2" max="2" width="15.140625" customWidth="1"/>
  </x:cols>
  <x:sheetData>
    <x:row r="1" ht="56.25" customHeight="1">
      <x:c r="A1" s="149" t="s">
        <x:v>34</x:v>
      </x:c>
      <x:c r="B1" s="150"/>
      <x:c r="C1" s="150"/>
      <x:c r="D1" s="150"/>
      <x:c r="E1" s="150"/>
      <x:c r="F1" s="150"/>
      <x:c r="G1" s="150"/>
      <x:c r="H1" s="150"/>
      <x:c r="I1" s="150"/>
      <x:c r="J1" s="150"/>
      <x:c r="K1" s="150"/>
      <x:c r="L1" s="150"/>
      <x:c r="M1" s="150"/>
      <x:c r="N1" s="150"/>
      <x:c r="O1" s="150"/>
      <x:c r="P1" s="150"/>
      <x:c r="Q1" s="150"/>
      <x:c r="R1" s="150"/>
      <x:c r="S1" s="150"/>
      <x:c r="T1" s="150"/>
    </x:row>
    <x:row r="2" ht="42" customHeight="1">
      <x:c r="A2"/>
      <x:c r="B2"/>
      <x:c r="C2"/>
    </x:row>
    <x:row r="3" ht="22.5" customHeight="1">
      <x:c r="A3" s="144" t="s">
        <x:v>35</x:v>
      </x:c>
      <x:c r="B3" s="145"/>
      <x:c r="C3" s="146"/>
    </x:row>
    <x:row r="4" ht="17.25">
      <x:c r="A4" s="44"/>
      <x:c r="B4" s="45"/>
      <x:c r="C4" s="46"/>
    </x:row>
    <x:row r="5" ht="17.25">
      <x:c r="A5" s="71" t="s">
        <x:v>36</x:v>
      </x:c>
      <x:c r="B5" s="72" t="str">
        <x:f>IF('SHOP DECEMBER 2026 (10)'!B40="","",'SHOP DECEMBER 2026 (10)'!B40)</x:f>
      </x:c>
      <x:c r="C5" s="47" t="str">
        <x:f>IFERROR(B5/B7,"")</x:f>
      </x:c>
    </x:row>
    <x:row r="6" ht="18">
      <x:c r="A6" s="73" t="s">
        <x:v>37</x:v>
      </x:c>
      <x:c r="B6" s="74" t="str">
        <x:f>IF('THIRD PARTY DECEMBER 2026 (10)'!B39="","",'THIRD PARTY DECEMBER 2026 (10)'!B39)</x:f>
      </x:c>
      <x:c r="C6" s="47" t="str">
        <x:f>IFERROR(B6/B7,"")</x:f>
      </x:c>
    </x:row>
    <x:row r="7" ht="16.5">
      <x:c r="A7" s="43"/>
      <x:c r="B7" s="42" t="str">
        <x:f>IF(SUM(B5:B6)=0,"",SUM(B5:B6))</x:f>
      </x:c>
      <x:c r="C7" s="48" t="str">
        <x:f>IF(SUM(C5:C6)=0,"",SUM(C5:C6))</x:f>
      </x:c>
    </x:row>
  </x:sheetData>
  <x:mergeCells>
    <x:mergeCell ref="A3:C3"/>
    <x:mergeCell ref="A1:T1"/>
  </x:mergeCells>
  <x:pageMargins left="0.7" right="0.7" top="0.75" bottom="0.75" header="0.3" footer="0.3"/>
  <x:drawing xmlns:r="http://schemas.openxmlformats.org/officeDocument/2006/relationships" r:id="R085101eb303e4bff"/>
</x:worksheet>
</file>

<file path=xl/worksheets/sheet33.xml><?xml version="1.0" encoding="utf-8"?>
<x:worksheet xmlns:x="http://schemas.openxmlformats.org/spreadsheetml/2006/main">
  <x:sheetPr>
    <x:tabColor rgb="FF00B0F0"/>
  </x:sheetPr>
  <x:sheetFormatPr defaultRowHeight="15"/>
  <x:cols>
    <x:col min="1" max="1" width="23.28515625" style="14" customWidth="1"/>
    <x:col min="2" max="2" width="15.5703125" style="6" customWidth="1"/>
    <x:col min="3" max="3" width="19" customWidth="1"/>
    <x:col min="4" max="4" width="13.85546875" style="20" customWidth="1"/>
    <x:col min="5" max="5" width="20.5703125" style="20" customWidth="1"/>
    <x:col min="6" max="6" width="13.85546875" style="8" customWidth="1"/>
    <x:col min="7" max="7" width="13.85546875" style="9" customWidth="1"/>
    <x:col min="9" max="9" width="17" customWidth="1"/>
    <x:col min="10" max="10" width="13.140625" customWidth="1"/>
    <x:col min="11" max="11" width="9.140625" customWidth="1"/>
  </x:cols>
  <x:sheetData>
    <x:row r="2" ht="18">
      <x:c r="A2" s="16" t="str">
        <x:v>DAILY SALES (6B)  - JANUARY 2027</x:v>
      </x:c>
      <x:c r="B2" s="16"/>
      <x:c r="C2" s="16"/>
      <x:c r="D2" s="18"/>
      <x:c r="E2" s="18"/>
      <x:c r="F2" s="16"/>
      <x:c r="G2" s="18"/>
      <x:c r="H2" s="16"/>
      <x:c r="I2" s="16"/>
      <x:c r="J2" s="16"/>
      <x:c r="K2" s="16"/>
      <x:c r="L2" s="16"/>
      <x:c r="M2" s="16"/>
      <x:c r="N2" s="16"/>
      <x:c r="O2" s="16"/>
      <x:c r="P2" s="16"/>
    </x:row>
    <x:row r="3" ht="18">
      <x:c r="B3" s="24"/>
      <x:c r="C3" s="24"/>
      <x:c r="D3" s="18"/>
      <x:c r="E3" s="18"/>
      <x:c r="F3" s="24"/>
      <x:c r="G3" s="24"/>
      <x:c r="H3" s="24"/>
      <x:c r="I3" s="24"/>
      <x:c r="J3" s="24"/>
      <x:c r="K3" s="24"/>
      <x:c r="L3" s="24"/>
      <x:c r="M3" s="24"/>
      <x:c r="N3" s="24"/>
      <x:c r="O3" s="24"/>
      <x:c r="P3" s="24"/>
    </x:row>
    <x:row r="4" ht="16.5">
      <x:c r="B4" s="11"/>
      <x:c r="C4" s="1"/>
      <x:c r="D4" s="19"/>
      <x:c r="E4" s="19"/>
      <x:c r="F4" s="12"/>
      <x:c r="G4" s="13"/>
      <x:c r="H4" s="1"/>
      <x:c r="I4" s="1"/>
      <x:c r="J4" s="1"/>
      <x:c r="K4" s="1"/>
      <x:c r="L4" s="1"/>
      <x:c r="M4" s="1"/>
      <x:c r="N4" s="1"/>
      <x:c r="O4" s="1"/>
      <x:c r="P4" s="1"/>
    </x:row>
    <x:row r="5" ht="16.5">
      <x:c r="A5" s="21" t="s">
        <x:v>21</x:v>
      </x:c>
      <x:c r="B5" s="22" t="s">
        <x:v>22</x:v>
      </x:c>
      <x:c r="C5" s="106" t="s">
        <x:v>23</x:v>
      </x:c>
      <x:c r="D5" s="139" t="s">
        <x:v>24</x:v>
      </x:c>
      <x:c r="E5" s="140"/>
      <x:c r="F5" s="139" t="s">
        <x:v>25</x:v>
      </x:c>
      <x:c r="G5" s="141"/>
      <x:c r="H5" s="2"/>
      <x:c r="I5" s="135" t="s">
        <x:v>26</x:v>
      </x:c>
      <x:c r="J5" s="135"/>
      <x:c r="K5" s="135"/>
      <x:c r="L5" s="1"/>
      <x:c r="M5" s="1"/>
      <x:c r="N5" s="1"/>
      <x:c r="O5" s="1"/>
      <x:c r="P5" s="1"/>
    </x:row>
    <x:row r="6" ht="16.5">
      <x:c r="A6" s="21"/>
      <x:c r="B6" s="22"/>
      <x:c r="C6" s="23"/>
      <x:c r="D6" s="26" t="s">
        <x:v>27</x:v>
      </x:c>
      <x:c r="E6" s="26" t="s">
        <x:v>28</x:v>
      </x:c>
      <x:c r="F6" s="26" t="s">
        <x:v>29</x:v>
      </x:c>
      <x:c r="G6" s="26" t="s">
        <x:v>30</x:v>
      </x:c>
      <x:c r="H6" s="2"/>
      <x:c r="I6" s="17"/>
      <x:c r="J6" s="17"/>
      <x:c r="K6" s="17"/>
      <x:c r="L6" s="1"/>
      <x:c r="M6" s="1"/>
      <x:c r="N6" s="1"/>
      <x:c r="O6" s="1"/>
      <x:c r="P6" s="1"/>
    </x:row>
    <x:row r="7" ht="16.5">
      <x:c r="A7" s="15"/>
      <x:c r="B7" s="7"/>
      <x:c r="C7" s="5"/>
      <x:c r="D7" s="17"/>
      <x:c r="E7" s="17"/>
      <x:c r="F7" s="17"/>
      <x:c r="G7" s="17"/>
      <x:c r="H7" s="2"/>
      <x:c r="I7" s="17"/>
      <x:c r="J7" s="17"/>
      <x:c r="K7" s="17"/>
      <x:c r="L7" s="1"/>
      <x:c r="M7" s="1"/>
      <x:c r="N7" s="1"/>
      <x:c r="O7" s="1"/>
      <x:c r="P7" s="1"/>
    </x:row>
    <x:row r="8" ht="16.5">
      <x:c r="A8" s="171" t="n">
        <x:v>46388</x:v>
      </x:c>
      <x:c r="B8" s="52" t="str">
        <x:f t="shared" ref="B8:B35" si="0">IF(SUM(C8:G8)=0,"",SUM(C8:G8))</x:f>
      </x:c>
      <x:c r="C8" s="53"/>
      <x:c r="D8" s="54"/>
      <x:c r="E8" s="54"/>
      <x:c r="F8" s="53" t="str">
        <x:f>IF('RETAIL &amp; PRINT'!W11="","",'RETAIL &amp; PRINT'!W11)</x:f>
      </x:c>
      <x:c r="G8" s="53" t="str">
        <x:f>IF(F8="","",F8*10%)</x:f>
      </x:c>
      <x:c r="H8" s="1"/>
      <x:c r="I8" s="3" t="str">
        <x:f>C5</x:f>
        <x:v>Footwear</x:v>
      </x:c>
      <x:c r="J8" s="10" t="str">
        <x:f>IF(C39="","",C39)</x:f>
      </x:c>
      <x:c r="K8" s="4" t="str">
        <x:f>IFERROR(C39/B40,"")</x:f>
      </x:c>
      <x:c r="L8" s="1"/>
      <x:c r="M8" s="1"/>
      <x:c r="N8" s="1"/>
      <x:c r="O8" s="1"/>
      <x:c r="P8" s="1"/>
    </x:row>
    <x:row r="9" ht="16.5">
      <x:c r="A9" s="171" t="n">
        <x:v>46389</x:v>
      </x:c>
      <x:c r="B9" s="52" t="str">
        <x:f t="shared" si="0">IF(SUM(C9:G9)=0,"",SUM(C9:G9))</x:f>
      </x:c>
      <x:c r="C9" s="53"/>
      <x:c r="D9" s="54"/>
      <x:c r="E9" s="54"/>
      <x:c r="F9" s="53" t="str">
        <x:f>IF('RETAIL &amp; PRINT'!W12="","",'RETAIL &amp; PRINT'!W12)</x:f>
      </x:c>
      <x:c r="G9" s="53" t="str">
        <x:f t="shared" ref="G9:G38" si="1">IF(F9="","",F9*10%)</x:f>
      </x:c>
      <x:c r="H9" s="1"/>
      <x:c r="I9" s="3" t="str">
        <x:f>D5</x:f>
        <x:v>Deep Cleaning</x:v>
      </x:c>
      <x:c r="J9" s="10" t="str">
        <x:f>IF(D40="","",D40)</x:f>
      </x:c>
      <x:c r="K9" s="4" t="str">
        <x:f>IFERROR(D40/$B$40,"")</x:f>
      </x:c>
      <x:c r="L9" s="1"/>
      <x:c r="M9" s="1"/>
      <x:c r="N9" s="1"/>
      <x:c r="O9" s="1"/>
      <x:c r="P9" s="1"/>
    </x:row>
    <x:row r="10" ht="16.5">
      <x:c r="A10" s="171" t="n">
        <x:v>46390</x:v>
      </x:c>
      <x:c r="B10" s="52" t="str">
        <x:f t="shared" si="0">IF(SUM(C10:G10)=0,"",SUM(C10:G10))</x:f>
      </x:c>
      <x:c r="C10" s="53"/>
      <x:c r="D10" s="54"/>
      <x:c r="E10" s="54"/>
      <x:c r="F10" s="53" t="str">
        <x:f>IF('RETAIL &amp; PRINT'!W13="","",'RETAIL &amp; PRINT'!W13)</x:f>
      </x:c>
      <x:c r="G10" s="53" t="str">
        <x:f t="shared" si="1">IF(F10="","",F10*10%)</x:f>
      </x:c>
      <x:c r="H10" s="1"/>
      <x:c r="I10" s="3" t="str">
        <x:f>F5</x:f>
        <x:v>Print &amp; Retail</x:v>
      </x:c>
      <x:c r="J10" s="10" t="str">
        <x:f>IF(F40="","",F40)</x:f>
      </x:c>
      <x:c r="K10" s="4" t="str">
        <x:f>IFERROR(SUM(F39:G39)/B40,"")</x:f>
      </x:c>
      <x:c r="L10" s="1"/>
      <x:c r="M10" s="1"/>
      <x:c r="N10" s="1"/>
      <x:c r="O10" s="1"/>
      <x:c r="P10" s="1"/>
    </x:row>
    <x:row r="11" ht="16.5">
      <x:c r="A11" s="171" t="n">
        <x:v>46391</x:v>
      </x:c>
      <x:c r="B11" s="52" t="str">
        <x:f t="shared" si="0">IF(SUM(C11:G11)=0,"",SUM(C11:G11))</x:f>
      </x:c>
      <x:c r="C11" s="53"/>
      <x:c r="D11" s="54"/>
      <x:c r="E11" s="54"/>
      <x:c r="F11" s="53" t="str">
        <x:f>IF('RETAIL &amp; PRINT'!W14="","",'RETAIL &amp; PRINT'!W14)</x:f>
      </x:c>
      <x:c r="G11" s="53" t="str">
        <x:f t="shared" si="1">IF(F11="","",F11*10%)</x:f>
      </x:c>
      <x:c r="H11" s="1"/>
      <x:c r="I11" s="3"/>
      <x:c r="J11" s="10"/>
      <x:c r="K11" s="4"/>
      <x:c r="L11" s="1"/>
      <x:c r="M11" s="1"/>
      <x:c r="N11" s="1"/>
      <x:c r="O11" s="1"/>
      <x:c r="P11" s="1"/>
    </x:row>
    <x:row r="12" ht="16.5">
      <x:c r="A12" s="171" t="n">
        <x:v>46392</x:v>
      </x:c>
      <x:c r="B12" s="52" t="str">
        <x:f t="shared" si="0">IF(SUM(C12:G12)=0,"",SUM(C12:G12))</x:f>
      </x:c>
      <x:c r="C12" s="53"/>
      <x:c r="D12" s="54"/>
      <x:c r="E12" s="54"/>
      <x:c r="F12" s="53" t="str">
        <x:f>IF('RETAIL &amp; PRINT'!W15="","",'RETAIL &amp; PRINT'!W15)</x:f>
      </x:c>
      <x:c r="G12" s="53" t="str">
        <x:f t="shared" si="1">IF(F12="","",F12*10%)</x:f>
      </x:c>
      <x:c r="H12" s="1"/>
      <x:c r="I12" s="3"/>
      <x:c r="J12" s="10" t="str">
        <x:f>IF(SUM(J8:J11)=0,"",SUM(J8:J11))</x:f>
      </x:c>
      <x:c r="K12" s="4" t="str">
        <x:f>IF(SUM(K8:K11)=0,"",SUM(K8:K11))</x:f>
      </x:c>
      <x:c r="L12" s="1"/>
      <x:c r="M12" s="1"/>
      <x:c r="N12" s="1"/>
      <x:c r="O12" s="1"/>
      <x:c r="P12" s="1"/>
    </x:row>
    <x:row r="13" ht="16.5">
      <x:c r="A13" s="171" t="n">
        <x:v>46393</x:v>
      </x:c>
      <x:c r="B13" s="52" t="str">
        <x:f t="shared" si="0">IF(SUM(C13:G13)=0,"",SUM(C13:G13))</x:f>
      </x:c>
      <x:c r="C13" s="53"/>
      <x:c r="D13" s="54"/>
      <x:c r="E13" s="54"/>
      <x:c r="F13" s="53" t="str">
        <x:f>IF('RETAIL &amp; PRINT'!W16="","",'RETAIL &amp; PRINT'!W16)</x:f>
      </x:c>
      <x:c r="G13" s="53" t="str">
        <x:f t="shared" si="1">IF(F13="","",F13*10%)</x:f>
      </x:c>
      <x:c r="H13" s="1"/>
      <x:c r="I13" s="1"/>
      <x:c r="J13" s="1"/>
      <x:c r="K13" s="1"/>
      <x:c r="L13" s="1"/>
      <x:c r="M13" s="1"/>
      <x:c r="N13" s="1"/>
      <x:c r="O13" s="1"/>
      <x:c r="P13" s="1"/>
    </x:row>
    <x:row r="14" ht="16.5">
      <x:c r="A14" s="171" t="n">
        <x:v>46394</x:v>
      </x:c>
      <x:c r="B14" s="52" t="str">
        <x:f t="shared" si="0">IF(SUM(C14:G14)=0,"",SUM(C14:G14))</x:f>
      </x:c>
      <x:c r="C14" s="53"/>
      <x:c r="D14" s="54"/>
      <x:c r="E14" s="54"/>
      <x:c r="F14" s="53" t="str">
        <x:f>IF('RETAIL &amp; PRINT'!W17="","",'RETAIL &amp; PRINT'!W17)</x:f>
      </x:c>
      <x:c r="G14" s="53" t="str">
        <x:f t="shared" si="1">IF(F14="","",F14*10%)</x:f>
      </x:c>
      <x:c r="H14" s="1"/>
      <x:c r="I14" s="1"/>
      <x:c r="J14" s="27"/>
      <x:c r="K14" s="28"/>
      <x:c r="L14" s="1"/>
      <x:c r="M14" s="1"/>
      <x:c r="N14" s="1"/>
      <x:c r="O14" s="1"/>
      <x:c r="P14" s="1"/>
    </x:row>
    <x:row r="15" ht="16.5">
      <x:c r="A15" s="171" t="n">
        <x:v>46395</x:v>
      </x:c>
      <x:c r="B15" s="52" t="str">
        <x:f t="shared" si="0">IF(SUM(C15:G15)=0,"",SUM(C15:G15))</x:f>
      </x:c>
      <x:c r="C15" s="53"/>
      <x:c r="D15" s="54"/>
      <x:c r="E15" s="54"/>
      <x:c r="F15" s="53" t="str">
        <x:f>IF('RETAIL &amp; PRINT'!W18="","",'RETAIL &amp; PRINT'!W18)</x:f>
      </x:c>
      <x:c r="G15" s="53" t="str">
        <x:f t="shared" si="1">IF(F15="","",F15*10%)</x:f>
      </x:c>
      <x:c r="H15" s="1"/>
      <x:c r="I15" s="1"/>
      <x:c r="J15" s="1"/>
      <x:c r="K15" s="1"/>
      <x:c r="L15" s="1"/>
      <x:c r="M15" s="1"/>
      <x:c r="N15" s="1"/>
      <x:c r="O15" s="1"/>
      <x:c r="P15" s="1"/>
    </x:row>
    <x:row r="16" ht="16.5">
      <x:c r="A16" s="171" t="n">
        <x:v>46396</x:v>
      </x:c>
      <x:c r="B16" s="52" t="str">
        <x:f t="shared" si="0">IF(SUM(C16:G16)=0,"",SUM(C16:G16))</x:f>
      </x:c>
      <x:c r="C16" s="53"/>
      <x:c r="D16" s="54"/>
      <x:c r="E16" s="54"/>
      <x:c r="F16" s="53" t="str">
        <x:f>IF('RETAIL &amp; PRINT'!W19="","",'RETAIL &amp; PRINT'!W19)</x:f>
      </x:c>
      <x:c r="G16" s="53" t="str">
        <x:f t="shared" si="1">IF(F16="","",F16*10%)</x:f>
      </x:c>
      <x:c r="H16" s="1"/>
      <x:c r="I16" s="1"/>
      <x:c r="J16" s="1"/>
      <x:c r="K16" s="1"/>
      <x:c r="L16" s="1"/>
      <x:c r="M16" s="1"/>
      <x:c r="N16" s="1"/>
      <x:c r="O16" s="1"/>
      <x:c r="P16" s="1"/>
    </x:row>
    <x:row r="17" ht="16.5">
      <x:c r="A17" s="171" t="n">
        <x:v>46397</x:v>
      </x:c>
      <x:c r="B17" s="52" t="str">
        <x:f t="shared" si="0">IF(SUM(C17:G17)=0,"",SUM(C17:G17))</x:f>
      </x:c>
      <x:c r="C17" s="53"/>
      <x:c r="D17" s="54"/>
      <x:c r="E17" s="54"/>
      <x:c r="F17" s="53" t="str">
        <x:f>IF('RETAIL &amp; PRINT'!W20="","",'RETAIL &amp; PRINT'!W20)</x:f>
      </x:c>
      <x:c r="G17" s="53" t="str">
        <x:f t="shared" si="1">IF(F17="","",F17*10%)</x:f>
      </x:c>
      <x:c r="H17" s="1"/>
      <x:c r="I17" s="1"/>
      <x:c r="J17" s="1"/>
      <x:c r="K17" s="1"/>
      <x:c r="L17" s="1"/>
      <x:c r="M17" s="1"/>
      <x:c r="N17" s="1"/>
      <x:c r="O17" s="1"/>
      <x:c r="P17" s="1"/>
    </x:row>
    <x:row r="18" ht="16.5">
      <x:c r="A18" s="171" t="n">
        <x:v>46398</x:v>
      </x:c>
      <x:c r="B18" s="52" t="str">
        <x:f t="shared" si="0">IF(SUM(C18:G18)=0,"",SUM(C18:G18))</x:f>
      </x:c>
      <x:c r="C18" s="53"/>
      <x:c r="D18" s="54"/>
      <x:c r="E18" s="54"/>
      <x:c r="F18" s="53" t="str">
        <x:f>IF('RETAIL &amp; PRINT'!W21="","",'RETAIL &amp; PRINT'!W21)</x:f>
      </x:c>
      <x:c r="G18" s="53" t="str">
        <x:f t="shared" si="1">IF(F18="","",F18*10%)</x:f>
      </x:c>
      <x:c r="H18" s="1"/>
      <x:c r="I18" s="1"/>
      <x:c r="J18" s="1"/>
      <x:c r="K18" s="1"/>
      <x:c r="L18" s="1"/>
      <x:c r="M18" s="1"/>
      <x:c r="N18" s="1"/>
      <x:c r="O18" s="1"/>
      <x:c r="P18" s="1"/>
    </x:row>
    <x:row r="19" ht="16.5">
      <x:c r="A19" s="171" t="n">
        <x:v>46399</x:v>
      </x:c>
      <x:c r="B19" s="52" t="str">
        <x:f t="shared" si="0">IF(SUM(C19:G19)=0,"",SUM(C19:G19))</x:f>
      </x:c>
      <x:c r="C19" s="53"/>
      <x:c r="D19" s="54"/>
      <x:c r="E19" s="54"/>
      <x:c r="F19" s="53" t="str">
        <x:f>IF('RETAIL &amp; PRINT'!W22="","",'RETAIL &amp; PRINT'!W22)</x:f>
      </x:c>
      <x:c r="G19" s="53" t="str">
        <x:f t="shared" si="1">IF(F19="","",F19*10%)</x:f>
      </x:c>
      <x:c r="H19" s="1"/>
      <x:c r="I19" s="1"/>
      <x:c r="J19" s="1"/>
      <x:c r="K19" s="1"/>
      <x:c r="L19" s="1"/>
      <x:c r="M19" s="1"/>
      <x:c r="N19" s="1"/>
      <x:c r="O19" s="1"/>
      <x:c r="P19" s="1"/>
    </x:row>
    <x:row r="20" ht="16.5">
      <x:c r="A20" s="171" t="n">
        <x:v>46400</x:v>
      </x:c>
      <x:c r="B20" s="52" t="str">
        <x:f t="shared" si="0">IF(SUM(C20:G20)=0,"",SUM(C20:G20))</x:f>
      </x:c>
      <x:c r="C20" s="53"/>
      <x:c r="D20" s="54"/>
      <x:c r="E20" s="54"/>
      <x:c r="F20" s="53" t="str">
        <x:f>IF('RETAIL &amp; PRINT'!W23="","",'RETAIL &amp; PRINT'!W23)</x:f>
      </x:c>
      <x:c r="G20" s="53" t="str">
        <x:f t="shared" si="1">IF(F20="","",F20*10%)</x:f>
      </x:c>
      <x:c r="H20" s="1"/>
      <x:c r="I20" s="1"/>
      <x:c r="J20" s="1"/>
      <x:c r="K20" s="1"/>
      <x:c r="L20" s="1"/>
      <x:c r="M20" s="1"/>
      <x:c r="N20" s="1"/>
      <x:c r="O20" s="1"/>
      <x:c r="P20" s="1"/>
    </x:row>
    <x:row r="21" ht="16.5">
      <x:c r="A21" s="171" t="n">
        <x:v>46401</x:v>
      </x:c>
      <x:c r="B21" s="52" t="str">
        <x:f t="shared" si="0">IF(SUM(C21:G21)=0,"",SUM(C21:G21))</x:f>
      </x:c>
      <x:c r="C21" s="53"/>
      <x:c r="D21" s="54"/>
      <x:c r="E21" s="54"/>
      <x:c r="F21" s="53" t="str">
        <x:f>IF('RETAIL &amp; PRINT'!W24="","",'RETAIL &amp; PRINT'!W24)</x:f>
      </x:c>
      <x:c r="G21" s="53" t="str">
        <x:f t="shared" si="1">IF(F21="","",F21*10%)</x:f>
      </x:c>
      <x:c r="H21" s="1"/>
      <x:c r="I21" s="1"/>
      <x:c r="J21" s="1"/>
      <x:c r="K21" s="1"/>
      <x:c r="L21" s="1"/>
      <x:c r="M21" s="1"/>
      <x:c r="N21" s="1"/>
      <x:c r="O21" s="1"/>
      <x:c r="P21" s="1"/>
    </x:row>
    <x:row r="22" ht="16.5">
      <x:c r="A22" s="171" t="n">
        <x:v>46402</x:v>
      </x:c>
      <x:c r="B22" s="52" t="str">
        <x:f t="shared" si="0">IF(SUM(C22:G22)=0,"",SUM(C22:G22))</x:f>
      </x:c>
      <x:c r="C22" s="53"/>
      <x:c r="D22" s="54"/>
      <x:c r="E22" s="54"/>
      <x:c r="F22" s="53" t="str">
        <x:f>IF('RETAIL &amp; PRINT'!W25="","",'RETAIL &amp; PRINT'!W25)</x:f>
      </x:c>
      <x:c r="G22" s="53" t="str">
        <x:f t="shared" si="1">IF(F22="","",F22*10%)</x:f>
      </x:c>
      <x:c r="H22" s="1"/>
      <x:c r="I22" s="1"/>
      <x:c r="J22" s="1"/>
      <x:c r="K22" s="1"/>
      <x:c r="L22" s="1"/>
      <x:c r="M22" s="1"/>
      <x:c r="N22" s="1"/>
      <x:c r="O22" s="1"/>
      <x:c r="P22" s="1"/>
    </x:row>
    <x:row r="23" ht="16.5">
      <x:c r="A23" s="171" t="n">
        <x:v>46403</x:v>
      </x:c>
      <x:c r="B23" s="52" t="str">
        <x:f t="shared" si="0">IF(SUM(C23:G23)=0,"",SUM(C23:G23))</x:f>
      </x:c>
      <x:c r="C23" s="53"/>
      <x:c r="D23" s="54"/>
      <x:c r="E23" s="54"/>
      <x:c r="F23" s="53" t="str">
        <x:f>IF('RETAIL &amp; PRINT'!W26="","",'RETAIL &amp; PRINT'!W26)</x:f>
      </x:c>
      <x:c r="G23" s="53" t="str">
        <x:f t="shared" si="1">IF(F23="","",F23*10%)</x:f>
      </x:c>
      <x:c r="H23" s="1"/>
      <x:c r="I23" s="1"/>
      <x:c r="J23" s="1"/>
      <x:c r="K23" s="1"/>
      <x:c r="L23" s="1"/>
      <x:c r="M23" s="1"/>
      <x:c r="N23" s="1"/>
      <x:c r="O23" s="1"/>
      <x:c r="P23" s="1"/>
    </x:row>
    <x:row r="24" ht="16.5">
      <x:c r="A24" s="171" t="n">
        <x:v>46404</x:v>
      </x:c>
      <x:c r="B24" s="52" t="str">
        <x:f t="shared" si="0">IF(SUM(C24:G24)=0,"",SUM(C24:G24))</x:f>
      </x:c>
      <x:c r="C24" s="53"/>
      <x:c r="D24" s="54"/>
      <x:c r="E24" s="54"/>
      <x:c r="F24" s="53" t="str">
        <x:f>IF('RETAIL &amp; PRINT'!W27="","",'RETAIL &amp; PRINT'!W27)</x:f>
      </x:c>
      <x:c r="G24" s="53" t="str">
        <x:f t="shared" si="1">IF(F24="","",F24*10%)</x:f>
      </x:c>
      <x:c r="H24" s="1"/>
      <x:c r="I24" s="1"/>
      <x:c r="J24" s="1"/>
      <x:c r="K24" s="1"/>
      <x:c r="L24" s="1"/>
      <x:c r="M24" s="1"/>
      <x:c r="N24" s="1"/>
      <x:c r="O24" s="1"/>
      <x:c r="P24" s="1"/>
    </x:row>
    <x:row r="25" ht="16.5">
      <x:c r="A25" s="171" t="n">
        <x:v>46405</x:v>
      </x:c>
      <x:c r="B25" s="52" t="str">
        <x:f t="shared" si="0">IF(SUM(C25:G25)=0,"",SUM(C25:G25))</x:f>
      </x:c>
      <x:c r="C25" s="53"/>
      <x:c r="D25" s="54"/>
      <x:c r="E25" s="54"/>
      <x:c r="F25" s="53" t="str">
        <x:f>IF('RETAIL &amp; PRINT'!W28="","",'RETAIL &amp; PRINT'!W28)</x:f>
      </x:c>
      <x:c r="G25" s="53" t="str">
        <x:f t="shared" si="1">IF(F25="","",F25*10%)</x:f>
      </x:c>
      <x:c r="H25" s="1"/>
      <x:c r="I25" s="34"/>
      <x:c r="J25" s="34"/>
      <x:c r="K25" s="34"/>
      <x:c r="L25" s="1"/>
      <x:c r="M25" s="1"/>
      <x:c r="N25" s="1"/>
      <x:c r="O25" s="1"/>
      <x:c r="P25" s="1"/>
    </x:row>
    <x:row r="26" ht="16.5">
      <x:c r="A26" s="171" t="n">
        <x:v>46406</x:v>
      </x:c>
      <x:c r="B26" s="52" t="str">
        <x:f t="shared" si="0">IF(SUM(C26:G26)=0,"",SUM(C26:G26))</x:f>
      </x:c>
      <x:c r="C26" s="53"/>
      <x:c r="D26" s="54"/>
      <x:c r="E26" s="54"/>
      <x:c r="F26" s="53" t="str">
        <x:f>IF('RETAIL &amp; PRINT'!W29="","",'RETAIL &amp; PRINT'!W29)</x:f>
      </x:c>
      <x:c r="G26" s="53" t="str">
        <x:f t="shared" si="1">IF(F26="","",F26*10%)</x:f>
      </x:c>
      <x:c r="H26" s="1"/>
      <x:c r="I26" s="33"/>
      <x:c r="J26" s="33"/>
      <x:c r="K26" s="33"/>
      <x:c r="L26" s="1"/>
      <x:c r="M26" s="1"/>
      <x:c r="N26" s="1"/>
      <x:c r="O26" s="1"/>
      <x:c r="P26" s="1"/>
    </x:row>
    <x:row r="27" ht="16.5">
      <x:c r="A27" s="171" t="n">
        <x:v>46407</x:v>
      </x:c>
      <x:c r="B27" s="52" t="str">
        <x:f t="shared" si="0">IF(SUM(C27:G27)=0,"",SUM(C27:G27))</x:f>
      </x:c>
      <x:c r="C27" s="53"/>
      <x:c r="D27" s="54"/>
      <x:c r="E27" s="54"/>
      <x:c r="F27" s="53" t="str">
        <x:f>IF('RETAIL &amp; PRINT'!W30="","",'RETAIL &amp; PRINT'!W30)</x:f>
      </x:c>
      <x:c r="G27" s="53" t="str">
        <x:f t="shared" si="1">IF(F27="","",F27*10%)</x:f>
      </x:c>
      <x:c r="H27" s="1"/>
      <x:c r="I27" s="34"/>
      <x:c r="J27" s="35"/>
      <x:c r="K27" s="36"/>
      <x:c r="L27" s="1"/>
      <x:c r="M27" s="1"/>
      <x:c r="N27" s="1"/>
      <x:c r="O27" s="1"/>
      <x:c r="P27" s="1"/>
    </x:row>
    <x:row r="28" ht="16.5">
      <x:c r="A28" s="171" t="n">
        <x:v>46408</x:v>
      </x:c>
      <x:c r="B28" s="52" t="str">
        <x:f t="shared" si="0">IF(SUM(C28:G28)=0,"",SUM(C28:G28))</x:f>
      </x:c>
      <x:c r="C28" s="53"/>
      <x:c r="D28" s="54"/>
      <x:c r="E28" s="54"/>
      <x:c r="F28" s="53" t="str">
        <x:f>IF('RETAIL &amp; PRINT'!W31="","",'RETAIL &amp; PRINT'!W31)</x:f>
      </x:c>
      <x:c r="G28" s="53" t="str">
        <x:f t="shared" si="1">IF(F28="","",F28*10%)</x:f>
      </x:c>
      <x:c r="H28" s="1"/>
      <x:c r="I28" s="34"/>
      <x:c r="J28" s="37"/>
      <x:c r="K28" s="36"/>
      <x:c r="L28" s="1"/>
      <x:c r="M28" s="1"/>
      <x:c r="N28" s="1"/>
      <x:c r="O28" s="1"/>
      <x:c r="P28" s="1"/>
    </x:row>
    <x:row r="29" ht="16.5">
      <x:c r="A29" s="171" t="n">
        <x:v>46409</x:v>
      </x:c>
      <x:c r="B29" s="52" t="str">
        <x:f t="shared" si="0">IF(SUM(C29:G29)=0,"",SUM(C29:G29))</x:f>
      </x:c>
      <x:c r="C29" s="53"/>
      <x:c r="D29" s="56"/>
      <x:c r="E29" s="56"/>
      <x:c r="F29" s="53" t="str">
        <x:f>IF('RETAIL &amp; PRINT'!W32="","",'RETAIL &amp; PRINT'!W32)</x:f>
      </x:c>
      <x:c r="G29" s="53" t="str">
        <x:f t="shared" si="1">IF(F29="","",F29*10%)</x:f>
      </x:c>
      <x:c r="H29" s="1"/>
      <x:c r="I29" s="1"/>
      <x:c r="J29" s="29"/>
      <x:c r="K29" s="30"/>
      <x:c r="L29" s="1"/>
      <x:c r="M29" s="1"/>
      <x:c r="N29" s="1"/>
      <x:c r="O29" s="1"/>
      <x:c r="P29" s="1"/>
    </x:row>
    <x:row r="30" ht="16.5">
      <x:c r="A30" s="171" t="n">
        <x:v>46410</x:v>
      </x:c>
      <x:c r="B30" s="52" t="str">
        <x:f t="shared" si="0">IF(SUM(C30:G30)=0,"",SUM(C30:G30))</x:f>
      </x:c>
      <x:c r="C30" s="53"/>
      <x:c r="D30" s="54"/>
      <x:c r="E30" s="54"/>
      <x:c r="F30" s="53" t="str">
        <x:f>IF('RETAIL &amp; PRINT'!W33="","",'RETAIL &amp; PRINT'!W33)</x:f>
      </x:c>
      <x:c r="G30" s="53" t="str">
        <x:f t="shared" si="1">IF(F30="","",F30*10%)</x:f>
      </x:c>
      <x:c r="H30" s="1"/>
      <x:c r="I30" s="1"/>
      <x:c r="J30" s="31"/>
      <x:c r="K30" s="30"/>
      <x:c r="L30" s="1"/>
      <x:c r="M30" s="1"/>
      <x:c r="N30" s="1"/>
      <x:c r="O30" s="1"/>
      <x:c r="P30" s="1"/>
    </x:row>
    <x:row r="31" ht="16.5">
      <x:c r="A31" s="171" t="n">
        <x:v>46411</x:v>
      </x:c>
      <x:c r="B31" s="52" t="str">
        <x:f t="shared" si="0">IF(SUM(C31:G31)=0,"",SUM(C31:G31))</x:f>
      </x:c>
      <x:c r="C31" s="53"/>
      <x:c r="D31" s="54"/>
      <x:c r="E31" s="54"/>
      <x:c r="F31" s="53" t="str">
        <x:f>IF('RETAIL &amp; PRINT'!W34="","",'RETAIL &amp; PRINT'!W34)</x:f>
      </x:c>
      <x:c r="G31" s="53" t="str">
        <x:f t="shared" si="1">IF(F31="","",F31*10%)</x:f>
      </x:c>
      <x:c r="I31" s="1"/>
      <x:c r="J31" s="29"/>
      <x:c r="K31" s="30"/>
      <x:c r="L31" s="1"/>
      <x:c r="M31" s="1"/>
      <x:c r="N31" s="1"/>
      <x:c r="O31" s="1"/>
      <x:c r="P31" s="1"/>
    </x:row>
    <x:row r="32" ht="16.5">
      <x:c r="A32" s="171" t="n">
        <x:v>46412</x:v>
      </x:c>
      <x:c r="B32" s="52" t="str">
        <x:f t="shared" si="0">IF(SUM(C32:G32)=0,"",SUM(C32:G32))</x:f>
      </x:c>
      <x:c r="C32" s="53"/>
      <x:c r="D32" s="54"/>
      <x:c r="E32" s="54"/>
      <x:c r="F32" s="53" t="str">
        <x:f>IF('RETAIL &amp; PRINT'!W35="","",'RETAIL &amp; PRINT'!W35)</x:f>
      </x:c>
      <x:c r="G32" s="53" t="str">
        <x:f t="shared" si="1">IF(F32="","",F32*10%)</x:f>
      </x:c>
      <x:c r="H32" s="1"/>
      <x:c r="I32" s="1"/>
      <x:c r="J32" s="31"/>
      <x:c r="K32" s="30"/>
      <x:c r="L32" s="1"/>
      <x:c r="M32" s="1"/>
      <x:c r="N32" s="1"/>
      <x:c r="O32" s="1"/>
      <x:c r="P32" s="1"/>
    </x:row>
    <x:row r="33" ht="16.5">
      <x:c r="A33" s="171" t="n">
        <x:v>46413</x:v>
      </x:c>
      <x:c r="B33" s="52" t="str">
        <x:f t="shared" si="0">IF(SUM(C33:G33)=0,"",SUM(C33:G33))</x:f>
      </x:c>
      <x:c r="C33" s="53"/>
      <x:c r="D33" s="54"/>
      <x:c r="E33" s="54"/>
      <x:c r="F33" s="53" t="str">
        <x:f>IF('RETAIL &amp; PRINT'!W36="","",'RETAIL &amp; PRINT'!W36)</x:f>
      </x:c>
      <x:c r="G33" s="53" t="str">
        <x:f t="shared" si="1">IF(F33="","",F33*10%)</x:f>
      </x:c>
      <x:c r="H33" s="1"/>
      <x:c r="I33" s="1"/>
      <x:c r="J33" s="32"/>
      <x:c r="K33" s="30"/>
      <x:c r="L33" s="1"/>
      <x:c r="M33" s="1"/>
      <x:c r="N33" s="1"/>
      <x:c r="O33" s="1"/>
      <x:c r="P33" s="1"/>
    </x:row>
    <x:row r="34" ht="16.5">
      <x:c r="A34" s="171" t="n">
        <x:v>46414</x:v>
      </x:c>
      <x:c r="B34" s="52" t="str">
        <x:f t="shared" si="0">IF(SUM(C34:G34)=0,"",SUM(C34:G34))</x:f>
      </x:c>
      <x:c r="C34" s="53"/>
      <x:c r="D34" s="54"/>
      <x:c r="E34" s="54"/>
      <x:c r="F34" s="53" t="str">
        <x:f>IF('RETAIL &amp; PRINT'!W37="","",'RETAIL &amp; PRINT'!W37)</x:f>
      </x:c>
      <x:c r="G34" s="53" t="str">
        <x:f t="shared" si="1">IF(F34="","",F34*10%)</x:f>
      </x:c>
      <x:c r="H34" s="1"/>
      <x:c r="I34" s="1"/>
      <x:c r="J34" s="1"/>
      <x:c r="K34" s="1"/>
      <x:c r="L34" s="1"/>
      <x:c r="M34" s="1"/>
      <x:c r="N34" s="1"/>
      <x:c r="O34" s="1"/>
      <x:c r="P34" s="1"/>
    </x:row>
    <x:row r="35" ht="16.5">
      <x:c r="A35" s="171" t="n">
        <x:v>46415</x:v>
      </x:c>
      <x:c r="B35" s="52" t="str">
        <x:f t="shared" si="0">IF(SUM(C35:G35)=0,"",SUM(C35:G35))</x:f>
      </x:c>
      <x:c r="C35" s="53"/>
      <x:c r="D35" s="54"/>
      <x:c r="E35" s="54"/>
      <x:c r="F35" s="53" t="str">
        <x:f>IF('RETAIL &amp; PRINT'!W38="","",'RETAIL &amp; PRINT'!W38)</x:f>
      </x:c>
      <x:c r="G35" s="53" t="str">
        <x:f t="shared" si="1">IF(F35="","",F35*10%)</x:f>
      </x:c>
      <x:c r="H35" s="1"/>
      <x:c r="I35" s="1"/>
      <x:c r="J35" s="1"/>
      <x:c r="K35" s="1"/>
      <x:c r="L35" s="1"/>
      <x:c r="M35" s="1"/>
      <x:c r="N35" s="1"/>
      <x:c r="O35" s="1"/>
      <x:c r="P35" s="1"/>
    </x:row>
    <x:row r="36" ht="16.5">
      <x:c r="A36" s="171" t="n">
        <x:v>46416</x:v>
      </x:c>
      <x:c r="B36" s="52" t="str">
        <x:f>IF(SUM(C36:G36)=0,"",SUM(C36:G36))</x:f>
      </x:c>
      <x:c r="C36" s="53"/>
      <x:c r="D36" s="54"/>
      <x:c r="E36" s="54"/>
      <x:c r="F36" s="53" t="str">
        <x:f>IF('RETAIL &amp; PRINT'!W39="","",'RETAIL &amp; PRINT'!W39)</x:f>
      </x:c>
      <x:c r="G36" s="53" t="str">
        <x:f t="shared" si="1">IF(F36="","",F36*10%)</x:f>
      </x:c>
      <x:c r="H36" s="1"/>
      <x:c r="I36" s="1"/>
      <x:c r="J36" s="1"/>
      <x:c r="K36" s="1"/>
      <x:c r="L36" s="1"/>
      <x:c r="M36" s="1"/>
      <x:c r="N36" s="1"/>
      <x:c r="O36" s="1"/>
      <x:c r="P36" s="1"/>
    </x:row>
    <x:row r="37" ht="16.5">
      <x:c r="A37" s="171" t="n">
        <x:v>46417</x:v>
      </x:c>
      <x:c r="B37" s="52" t="str">
        <x:f>IF(SUM(C37:G37)=0,"",SUM(C37:G37))</x:f>
      </x:c>
      <x:c r="C37" s="53"/>
      <x:c r="D37" s="54"/>
      <x:c r="E37" s="54"/>
      <x:c r="F37" s="53" t="str">
        <x:f>IF('RETAIL &amp; PRINT'!W40="","",'RETAIL &amp; PRINT'!W40)</x:f>
      </x:c>
      <x:c r="G37" s="53" t="str">
        <x:f t="shared" si="1">IF(F37="","",F37*10%)</x:f>
      </x:c>
      <x:c r="H37" s="1"/>
      <x:c r="I37" s="1"/>
      <x:c r="J37" s="1"/>
      <x:c r="K37" s="1"/>
      <x:c r="L37" s="1"/>
      <x:c r="M37" s="1"/>
      <x:c r="N37" s="1"/>
      <x:c r="O37" s="1"/>
      <x:c r="P37" s="1"/>
    </x:row>
    <x:row r="38" ht="16.5">
      <x:c r="A38" s="171" t="n">
        <x:v>46418</x:v>
      </x:c>
      <x:c r="B38" s="52" t="str">
        <x:f>IF(SUM(C38:G38)=0,"",SUM(C38:G38))</x:f>
      </x:c>
      <x:c r="C38" s="53"/>
      <x:c r="D38" s="54"/>
      <x:c r="E38" s="54"/>
      <x:c r="F38" s="53" t="str">
        <x:f>IF('RETAIL &amp; PRINT'!W41="","",'RETAIL &amp; PRINT'!W41)</x:f>
      </x:c>
      <x:c r="G38" s="53" t="str">
        <x:f t="shared" si="1">IF(F38="","",F38*10%)</x:f>
      </x:c>
      <x:c r="H38" s="1"/>
      <x:c r="I38" s="1"/>
      <x:c r="J38" s="1"/>
      <x:c r="K38" s="1"/>
      <x:c r="L38" s="1"/>
      <x:c r="M38" s="1"/>
      <x:c r="N38" s="1"/>
      <x:c r="O38" s="1"/>
      <x:c r="P38" s="1"/>
    </x:row>
    <x:row r="39" ht="16.5">
      <x:c r="A39" s="51"/>
      <x:c r="B39" s="75" t="str">
        <x:f t="shared" ref="B39:G39" si="2">IF(SUM(B8:B38)=0,"",SUM(B8:B38))</x:f>
      </x:c>
      <x:c r="C39" s="75" t="str">
        <x:f t="shared" si="2">IF(SUM(C8:C38)=0,"",SUM(C8:C38))</x:f>
      </x:c>
      <x:c r="D39" s="75" t="str">
        <x:f t="shared" si="2">IF(SUM(D8:D38)=0,"",SUM(D8:D38))</x:f>
      </x:c>
      <x:c r="E39" s="75" t="str">
        <x:f t="shared" si="2">IF(SUM(E8:E38)=0,"",SUM(E8:E38))</x:f>
      </x:c>
      <x:c r="F39" s="75" t="str">
        <x:f t="shared" si="2">IF(SUM(F8:F38)=0,"",SUM(F8:F38))</x:f>
      </x:c>
      <x:c r="G39" s="75" t="str">
        <x:f t="shared" si="2">IF(SUM(G8:G38)=0,"",SUM(G8:G38))</x:f>
      </x:c>
      <x:c r="H39" s="1"/>
      <x:c r="I39" s="1"/>
      <x:c r="J39" s="1"/>
      <x:c r="K39" s="1"/>
      <x:c r="L39" s="1"/>
      <x:c r="M39" s="1"/>
      <x:c r="N39" s="1"/>
      <x:c r="O39" s="1"/>
      <x:c r="P39" s="1"/>
    </x:row>
    <x:row r="40" ht="16.5">
      <x:c r="A40" s="51"/>
      <x:c r="B40" s="66" t="str">
        <x:f>IF(B39="","",B39)</x:f>
      </x:c>
      <x:c r="C40" s="67" t="str">
        <x:f>IF(C39="","",C39)</x:f>
      </x:c>
      <x:c r="D40" s="107" t="str">
        <x:f>IF(SUM(D39:E39)=0,"",SUM(D39:E39))</x:f>
      </x:c>
      <x:c r="E40" s="108"/>
      <x:c r="F40" s="142" t="str">
        <x:f>IF(SUM(F39:G39)=0,"",SUM(F39:G39))</x:f>
      </x:c>
      <x:c r="G40" s="143"/>
      <x:c r="H40" s="1"/>
      <x:c r="I40" s="1"/>
      <x:c r="J40" s="1"/>
      <x:c r="K40" s="1"/>
      <x:c r="L40" s="1"/>
      <x:c r="M40" s="1"/>
      <x:c r="N40" s="1"/>
      <x:c r="O40" s="1"/>
      <x:c r="P40" s="1"/>
    </x:row>
    <x:row r="41" ht="16.5">
      <x:c r="B41" s="11"/>
      <x:c r="C41" s="1"/>
      <x:c r="D41" s="19"/>
      <x:c r="E41" s="19"/>
      <x:c r="F41" s="12"/>
      <x:c r="G41" s="13"/>
      <x:c r="H41" s="1"/>
      <x:c r="I41" s="1"/>
      <x:c r="J41" s="1"/>
      <x:c r="K41" s="1"/>
      <x:c r="L41" s="1"/>
      <x:c r="M41" s="1"/>
      <x:c r="N41" s="1"/>
      <x:c r="O41" s="1"/>
      <x:c r="P41" s="1"/>
    </x:row>
    <x:row r="42" ht="16.5">
      <x:c r="B42" s="11"/>
      <x:c r="C42" s="1"/>
      <x:c r="D42" s="19"/>
      <x:c r="E42" s="19"/>
      <x:c r="F42" s="12"/>
      <x:c r="G42" s="25"/>
      <x:c r="H42" s="1"/>
      <x:c r="I42" s="1"/>
      <x:c r="J42" s="1"/>
      <x:c r="K42" s="1"/>
      <x:c r="L42" s="1"/>
      <x:c r="M42" s="1"/>
      <x:c r="N42" s="1"/>
      <x:c r="O42" s="1"/>
      <x:c r="P42" s="1"/>
    </x:row>
    <x:row r="43" ht="16.5">
      <x:c r="B43" s="11"/>
      <x:c r="C43" s="27"/>
      <x:c r="D43" s="19"/>
      <x:c r="E43" s="19"/>
      <x:c r="F43" s="12"/>
      <x:c r="G43" s="13"/>
      <x:c r="H43" s="1"/>
      <x:c r="I43" s="1"/>
      <x:c r="J43" s="1"/>
      <x:c r="K43" s="1"/>
      <x:c r="L43" s="1"/>
      <x:c r="M43" s="1"/>
      <x:c r="N43" s="1"/>
      <x:c r="O43" s="1"/>
      <x:c r="P43" s="1"/>
    </x:row>
    <x:row r="44" ht="16.5">
      <x:c r="B44" s="11"/>
      <x:c r="C44" s="27"/>
      <x:c r="D44" s="19"/>
      <x:c r="E44" s="19"/>
      <x:c r="F44" s="12"/>
      <x:c r="G44" s="13"/>
      <x:c r="H44" s="1"/>
      <x:c r="I44" s="1"/>
      <x:c r="J44" s="1"/>
      <x:c r="K44" s="1"/>
      <x:c r="L44" s="1"/>
      <x:c r="M44" s="1"/>
      <x:c r="N44" s="1"/>
      <x:c r="O44" s="1"/>
      <x:c r="P44" s="1"/>
    </x:row>
    <x:row r="45" ht="16.5">
      <x:c r="B45" s="11"/>
      <x:c r="C45" s="27"/>
      <x:c r="D45" s="19"/>
      <x:c r="E45" s="19"/>
      <x:c r="F45" s="130"/>
      <x:c r="G45" s="13"/>
      <x:c r="H45" s="1"/>
      <x:c r="I45" s="1"/>
      <x:c r="J45" s="1"/>
      <x:c r="K45" s="1"/>
      <x:c r="L45" s="1"/>
      <x:c r="M45" s="1"/>
      <x:c r="N45" s="1"/>
      <x:c r="O45" s="1"/>
      <x:c r="P45" s="1"/>
    </x:row>
    <x:row r="46" ht="16.5">
      <x:c r="B46" s="11"/>
      <x:c r="C46" s="1"/>
      <x:c r="D46" s="19"/>
      <x:c r="E46" s="19"/>
      <x:c r="F46" s="12"/>
      <x:c r="G46" s="13"/>
      <x:c r="H46" s="1"/>
      <x:c r="I46" s="1"/>
      <x:c r="J46" s="1"/>
      <x:c r="K46" s="1"/>
      <x:c r="L46" s="1"/>
      <x:c r="M46" s="1"/>
      <x:c r="N46" s="1"/>
      <x:c r="O46" s="1"/>
      <x:c r="P46" s="1"/>
    </x:row>
    <x:row r="47" ht="16.5">
      <x:c r="B47" s="11"/>
      <x:c r="C47" s="1"/>
      <x:c r="D47" s="19"/>
      <x:c r="E47" s="19"/>
      <x:c r="F47" s="12"/>
      <x:c r="G47" s="13"/>
      <x:c r="H47" s="1"/>
      <x:c r="I47" s="1"/>
      <x:c r="J47" s="1"/>
      <x:c r="K47" s="1"/>
      <x:c r="L47" s="1"/>
      <x:c r="M47" s="1"/>
      <x:c r="N47" s="1"/>
      <x:c r="O47" s="1"/>
      <x:c r="P47" s="1"/>
    </x:row>
    <x:row r="48" ht="16.5">
      <x:c r="B48" s="11"/>
      <x:c r="C48" s="1"/>
      <x:c r="D48" s="19"/>
      <x:c r="E48" s="19"/>
      <x:c r="F48" s="12"/>
      <x:c r="G48" s="13"/>
      <x:c r="H48" s="1"/>
      <x:c r="I48" s="1"/>
      <x:c r="J48" s="1"/>
      <x:c r="K48" s="1"/>
      <x:c r="L48" s="1"/>
      <x:c r="M48" s="1"/>
      <x:c r="N48" s="1"/>
      <x:c r="O48" s="1"/>
      <x:c r="P48" s="1"/>
    </x:row>
    <x:row r="49" ht="16.5">
      <x:c r="B49" s="11"/>
      <x:c r="C49" s="1"/>
      <x:c r="D49" s="19"/>
      <x:c r="E49" s="19"/>
      <x:c r="F49" s="12"/>
      <x:c r="G49" s="13"/>
      <x:c r="H49" s="1"/>
      <x:c r="I49" s="1"/>
      <x:c r="J49" s="1"/>
      <x:c r="K49" s="1"/>
      <x:c r="L49" s="1"/>
      <x:c r="M49" s="1"/>
      <x:c r="N49" s="1"/>
      <x:c r="O49" s="1"/>
      <x:c r="P49" s="1"/>
    </x:row>
    <x:row r="50" ht="16.5">
      <x:c r="A50"/>
      <x:c r="B50" s="11"/>
      <x:c r="C50" s="1"/>
      <x:c r="D50" s="19"/>
      <x:c r="E50" s="19"/>
      <x:c r="F50" s="12"/>
      <x:c r="G50" s="13"/>
      <x:c r="H50" s="1"/>
      <x:c r="I50" s="1"/>
      <x:c r="J50" s="1"/>
      <x:c r="K50" s="1"/>
      <x:c r="L50" s="1"/>
      <x:c r="M50" s="1"/>
      <x:c r="N50" s="1"/>
      <x:c r="O50" s="1"/>
      <x:c r="P50" s="1"/>
    </x:row>
    <x:row r="51" ht="16.5">
      <x:c r="A51"/>
      <x:c r="B51" s="11"/>
      <x:c r="C51" s="1"/>
      <x:c r="D51" s="19"/>
      <x:c r="E51" s="19"/>
      <x:c r="F51" s="12"/>
      <x:c r="G51" s="13"/>
      <x:c r="H51" s="1"/>
      <x:c r="I51" s="1"/>
      <x:c r="J51" s="1"/>
      <x:c r="K51" s="1"/>
      <x:c r="L51" s="1"/>
      <x:c r="M51" s="1"/>
      <x:c r="N51" s="1"/>
      <x:c r="O51" s="1"/>
      <x:c r="P51" s="1"/>
    </x:row>
    <x:row r="52" ht="16.5">
      <x:c r="A52"/>
      <x:c r="B52" s="11"/>
      <x:c r="C52" s="1"/>
      <x:c r="D52" s="19"/>
      <x:c r="E52" s="19"/>
      <x:c r="F52" s="12"/>
      <x:c r="G52" s="13"/>
      <x:c r="H52" s="1"/>
      <x:c r="I52" s="1"/>
      <x:c r="J52" s="1"/>
      <x:c r="K52" s="1"/>
      <x:c r="L52" s="1"/>
      <x:c r="M52" s="1"/>
      <x:c r="N52" s="1"/>
      <x:c r="O52" s="1"/>
      <x:c r="P52" s="1"/>
    </x:row>
    <x:row r="53" ht="16.5">
      <x:c r="A53"/>
      <x:c r="B53" s="11"/>
      <x:c r="C53" s="1"/>
      <x:c r="D53" s="19"/>
      <x:c r="E53" s="19"/>
      <x:c r="F53" s="12"/>
      <x:c r="G53" s="13"/>
      <x:c r="H53" s="1"/>
      <x:c r="I53" s="1"/>
      <x:c r="J53" s="1"/>
      <x:c r="K53" s="1"/>
      <x:c r="L53" s="1"/>
      <x:c r="M53" s="1"/>
      <x:c r="N53" s="1"/>
      <x:c r="O53" s="1"/>
      <x:c r="P53" s="1"/>
    </x:row>
    <x:row r="54" ht="16.5">
      <x:c r="A54"/>
      <x:c r="B54" s="11"/>
      <x:c r="C54" s="1"/>
      <x:c r="D54" s="19"/>
      <x:c r="E54" s="19"/>
      <x:c r="F54" s="12"/>
      <x:c r="G54" s="13"/>
      <x:c r="H54" s="1"/>
      <x:c r="I54" s="1"/>
      <x:c r="J54" s="1"/>
      <x:c r="K54" s="1"/>
      <x:c r="L54" s="1"/>
      <x:c r="M54" s="1"/>
      <x:c r="N54" s="1"/>
      <x:c r="O54" s="1"/>
      <x:c r="P54" s="1"/>
    </x:row>
    <x:row r="55" ht="16.5">
      <x:c r="A55"/>
      <x:c r="B55" s="11"/>
      <x:c r="C55" s="1"/>
      <x:c r="D55" s="19"/>
      <x:c r="E55" s="19"/>
      <x:c r="F55" s="12"/>
      <x:c r="G55" s="13"/>
      <x:c r="H55" s="1"/>
      <x:c r="I55" s="1"/>
      <x:c r="J55" s="1"/>
      <x:c r="K55" s="1"/>
      <x:c r="L55" s="1"/>
      <x:c r="M55" s="1"/>
      <x:c r="N55" s="1"/>
      <x:c r="O55" s="1"/>
      <x:c r="P55" s="1"/>
    </x:row>
    <x:row r="56" ht="16.5">
      <x:c r="A56"/>
      <x:c r="B56" s="11"/>
      <x:c r="C56" s="1"/>
      <x:c r="D56" s="19"/>
      <x:c r="E56" s="19"/>
      <x:c r="F56" s="12"/>
      <x:c r="G56" s="13"/>
      <x:c r="H56" s="1"/>
      <x:c r="I56" s="1"/>
      <x:c r="J56" s="1"/>
      <x:c r="K56" s="1"/>
      <x:c r="L56" s="1"/>
      <x:c r="M56" s="1"/>
      <x:c r="N56" s="1"/>
      <x:c r="O56" s="1"/>
      <x:c r="P56" s="1"/>
    </x:row>
    <x:row r="57" ht="16.5">
      <x:c r="A57"/>
      <x:c r="B57" s="11"/>
      <x:c r="C57" s="1"/>
      <x:c r="D57" s="19"/>
      <x:c r="E57" s="19"/>
      <x:c r="F57" s="12"/>
      <x:c r="G57" s="13"/>
      <x:c r="H57" s="1"/>
      <x:c r="I57" s="1"/>
      <x:c r="J57" s="1"/>
      <x:c r="K57" s="1"/>
      <x:c r="L57" s="1"/>
      <x:c r="M57" s="1"/>
      <x:c r="N57" s="1"/>
      <x:c r="O57" s="1"/>
      <x:c r="P57" s="1"/>
    </x:row>
    <x:row r="58" ht="16.5">
      <x:c r="A58"/>
      <x:c r="B58" s="11"/>
      <x:c r="C58" s="1"/>
      <x:c r="D58" s="19"/>
      <x:c r="E58" s="19"/>
      <x:c r="F58" s="12"/>
      <x:c r="G58" s="13"/>
      <x:c r="H58" s="1"/>
      <x:c r="I58" s="1"/>
      <x:c r="J58" s="1"/>
      <x:c r="K58" s="1"/>
      <x:c r="L58" s="1"/>
      <x:c r="M58" s="1"/>
      <x:c r="N58" s="1"/>
      <x:c r="O58" s="1"/>
      <x:c r="P58" s="1"/>
    </x:row>
    <x:row r="59" ht="16.5">
      <x:c r="A59"/>
      <x:c r="B59" s="11"/>
      <x:c r="C59" s="1"/>
      <x:c r="D59" s="19"/>
      <x:c r="E59" s="19"/>
      <x:c r="F59" s="12"/>
      <x:c r="G59" s="13"/>
      <x:c r="H59" s="1"/>
      <x:c r="I59" s="1"/>
      <x:c r="J59" s="1"/>
      <x:c r="K59" s="1"/>
      <x:c r="L59" s="1"/>
      <x:c r="M59" s="1"/>
      <x:c r="N59" s="1"/>
      <x:c r="O59" s="1"/>
      <x:c r="P59" s="1"/>
    </x:row>
    <x:row r="60" ht="16.5">
      <x:c r="A60"/>
      <x:c r="B60" s="11"/>
      <x:c r="C60" s="1"/>
      <x:c r="D60" s="19"/>
      <x:c r="E60" s="19"/>
      <x:c r="F60" s="12"/>
      <x:c r="G60" s="13"/>
      <x:c r="H60" s="1"/>
      <x:c r="I60" s="1"/>
      <x:c r="J60" s="1"/>
      <x:c r="K60" s="1"/>
      <x:c r="L60" s="1"/>
      <x:c r="M60" s="1"/>
      <x:c r="N60" s="1"/>
      <x:c r="O60" s="1"/>
      <x:c r="P60" s="1"/>
    </x:row>
    <x:row r="61" ht="16.5">
      <x:c r="A61"/>
      <x:c r="B61" s="11"/>
      <x:c r="C61" s="1"/>
      <x:c r="D61" s="19"/>
      <x:c r="E61" s="19"/>
      <x:c r="F61" s="12"/>
      <x:c r="G61" s="13"/>
      <x:c r="H61" s="1"/>
      <x:c r="I61" s="1"/>
      <x:c r="J61" s="1"/>
      <x:c r="K61" s="1"/>
      <x:c r="L61" s="1"/>
      <x:c r="M61" s="1"/>
      <x:c r="N61" s="1"/>
      <x:c r="O61" s="1"/>
      <x:c r="P61" s="1"/>
    </x:row>
    <x:row r="62" ht="16.5">
      <x:c r="A62"/>
      <x:c r="B62" s="11"/>
      <x:c r="C62" s="1"/>
      <x:c r="D62" s="19"/>
      <x:c r="E62" s="19"/>
      <x:c r="F62" s="12"/>
      <x:c r="G62" s="13"/>
      <x:c r="H62" s="1"/>
      <x:c r="I62" s="1"/>
      <x:c r="J62" s="1"/>
      <x:c r="K62" s="1"/>
      <x:c r="L62" s="1"/>
      <x:c r="M62" s="1"/>
      <x:c r="N62" s="1"/>
      <x:c r="O62" s="1"/>
      <x:c r="P62" s="1"/>
    </x:row>
    <x:row r="63" ht="16.5">
      <x:c r="A63"/>
      <x:c r="B63" s="11"/>
      <x:c r="C63" s="1"/>
      <x:c r="D63" s="19"/>
      <x:c r="E63" s="19"/>
      <x:c r="F63" s="12"/>
      <x:c r="G63" s="13"/>
      <x:c r="H63" s="1"/>
      <x:c r="I63" s="1"/>
      <x:c r="J63" s="1"/>
      <x:c r="K63" s="1"/>
      <x:c r="L63" s="1"/>
      <x:c r="M63" s="1"/>
      <x:c r="N63" s="1"/>
      <x:c r="O63" s="1"/>
      <x:c r="P63" s="1"/>
    </x:row>
    <x:row r="64" ht="16.5">
      <x:c r="A64"/>
      <x:c r="B64" s="11"/>
      <x:c r="C64" s="1"/>
      <x:c r="D64" s="19"/>
      <x:c r="E64" s="19"/>
      <x:c r="F64" s="12"/>
      <x:c r="G64" s="13"/>
      <x:c r="H64" s="1"/>
      <x:c r="I64" s="1"/>
      <x:c r="J64" s="1"/>
      <x:c r="K64" s="1"/>
      <x:c r="L64" s="1"/>
      <x:c r="M64" s="1"/>
      <x:c r="N64" s="1"/>
      <x:c r="O64" s="1"/>
      <x:c r="P64" s="1"/>
    </x:row>
    <x:row r="65" ht="16.5">
      <x:c r="A65"/>
      <x:c r="B65" s="11"/>
      <x:c r="C65" s="1"/>
      <x:c r="D65" s="19"/>
      <x:c r="E65" s="19"/>
      <x:c r="F65" s="12"/>
      <x:c r="G65" s="13"/>
      <x:c r="H65" s="1"/>
      <x:c r="I65" s="1"/>
      <x:c r="J65" s="1"/>
      <x:c r="K65" s="1"/>
      <x:c r="L65" s="1"/>
      <x:c r="M65" s="1"/>
      <x:c r="N65" s="1"/>
      <x:c r="O65" s="1"/>
      <x:c r="P65" s="1"/>
    </x:row>
    <x:row r="66" ht="16.5">
      <x:c r="A66"/>
      <x:c r="B66" s="11"/>
      <x:c r="C66" s="1"/>
      <x:c r="D66" s="19"/>
      <x:c r="E66" s="19"/>
      <x:c r="F66" s="12"/>
      <x:c r="G66" s="13"/>
      <x:c r="H66" s="1"/>
      <x:c r="I66" s="1"/>
      <x:c r="J66" s="1"/>
      <x:c r="K66" s="1"/>
      <x:c r="L66" s="1"/>
      <x:c r="M66" s="1"/>
      <x:c r="N66" s="1"/>
      <x:c r="O66" s="1"/>
      <x:c r="P66" s="1"/>
    </x:row>
    <x:row r="67" ht="16.5">
      <x:c r="A67"/>
      <x:c r="B67" s="11"/>
      <x:c r="C67" s="1"/>
      <x:c r="D67" s="19"/>
      <x:c r="E67" s="19"/>
      <x:c r="F67" s="12"/>
      <x:c r="G67" s="13"/>
      <x:c r="H67" s="1"/>
      <x:c r="I67" s="1"/>
      <x:c r="J67" s="1"/>
      <x:c r="K67" s="1"/>
      <x:c r="L67" s="1"/>
      <x:c r="M67" s="1"/>
      <x:c r="N67" s="1"/>
      <x:c r="O67" s="1"/>
      <x:c r="P67" s="1"/>
    </x:row>
    <x:row r="68" ht="16.5">
      <x:c r="A68"/>
      <x:c r="B68" s="11"/>
      <x:c r="C68" s="1"/>
      <x:c r="D68" s="19"/>
      <x:c r="E68" s="19"/>
      <x:c r="F68" s="12"/>
      <x:c r="G68" s="13"/>
      <x:c r="H68" s="1"/>
      <x:c r="I68" s="1"/>
      <x:c r="J68" s="1"/>
      <x:c r="K68" s="1"/>
      <x:c r="L68" s="1"/>
      <x:c r="M68" s="1"/>
      <x:c r="N68" s="1"/>
      <x:c r="O68" s="1"/>
      <x:c r="P68" s="1"/>
    </x:row>
    <x:row r="69" ht="16.5">
      <x:c r="A69"/>
      <x:c r="B69" s="11"/>
      <x:c r="C69" s="1"/>
      <x:c r="D69" s="19"/>
      <x:c r="E69" s="19"/>
      <x:c r="F69" s="12"/>
      <x:c r="G69" s="13"/>
      <x:c r="H69" s="1"/>
      <x:c r="I69" s="1"/>
      <x:c r="J69" s="1"/>
      <x:c r="K69" s="1"/>
      <x:c r="L69" s="1"/>
      <x:c r="M69" s="1"/>
      <x:c r="N69" s="1"/>
      <x:c r="O69" s="1"/>
      <x:c r="P69" s="1"/>
    </x:row>
    <x:row r="70" ht="16.5">
      <x:c r="A70"/>
      <x:c r="B70" s="11"/>
      <x:c r="C70" s="1"/>
      <x:c r="D70" s="19"/>
      <x:c r="E70" s="19"/>
      <x:c r="F70" s="12"/>
      <x:c r="G70" s="13"/>
      <x:c r="H70" s="1"/>
      <x:c r="I70" s="1"/>
      <x:c r="J70" s="1"/>
      <x:c r="K70" s="1"/>
      <x:c r="L70" s="1"/>
      <x:c r="M70" s="1"/>
      <x:c r="N70" s="1"/>
      <x:c r="O70" s="1"/>
      <x:c r="P70" s="1"/>
    </x:row>
    <x:row r="71" ht="16.5">
      <x:c r="A71"/>
      <x:c r="B71" s="11"/>
      <x:c r="C71" s="1"/>
      <x:c r="D71" s="19"/>
      <x:c r="E71" s="19"/>
      <x:c r="F71" s="12"/>
      <x:c r="G71" s="13"/>
      <x:c r="H71" s="1"/>
      <x:c r="I71" s="1"/>
      <x:c r="J71" s="1"/>
      <x:c r="K71" s="1"/>
      <x:c r="L71" s="1"/>
      <x:c r="M71" s="1"/>
      <x:c r="N71" s="1"/>
      <x:c r="O71" s="1"/>
      <x:c r="P71" s="1"/>
    </x:row>
    <x:row r="72" ht="16.5">
      <x:c r="A72"/>
      <x:c r="B72" s="11"/>
      <x:c r="C72" s="1"/>
      <x:c r="D72" s="19"/>
      <x:c r="E72" s="19"/>
      <x:c r="F72" s="12"/>
      <x:c r="G72" s="13"/>
      <x:c r="H72" s="1"/>
      <x:c r="I72" s="1"/>
      <x:c r="J72" s="1"/>
      <x:c r="K72" s="1"/>
      <x:c r="L72" s="1"/>
      <x:c r="M72" s="1"/>
      <x:c r="N72" s="1"/>
      <x:c r="O72" s="1"/>
      <x:c r="P72" s="1"/>
    </x:row>
    <x:row r="73" ht="16.5">
      <x:c r="A73"/>
      <x:c r="B73" s="11"/>
      <x:c r="C73" s="1"/>
      <x:c r="D73" s="19"/>
      <x:c r="E73" s="19"/>
      <x:c r="F73" s="12"/>
      <x:c r="G73" s="13"/>
      <x:c r="H73" s="1"/>
      <x:c r="I73" s="1"/>
      <x:c r="J73" s="1"/>
      <x:c r="K73" s="1"/>
      <x:c r="L73" s="1"/>
      <x:c r="M73" s="1"/>
      <x:c r="N73" s="1"/>
      <x:c r="O73" s="1"/>
      <x:c r="P73" s="1"/>
    </x:row>
    <x:row r="74" ht="16.5">
      <x:c r="A74"/>
      <x:c r="B74" s="11"/>
      <x:c r="C74" s="1"/>
      <x:c r="D74" s="19"/>
      <x:c r="E74" s="19"/>
      <x:c r="F74" s="12"/>
      <x:c r="G74" s="13"/>
      <x:c r="H74" s="1"/>
      <x:c r="I74" s="1"/>
      <x:c r="J74" s="1"/>
      <x:c r="K74" s="1"/>
      <x:c r="L74" s="1"/>
      <x:c r="M74" s="1"/>
      <x:c r="N74" s="1"/>
      <x:c r="O74" s="1"/>
      <x:c r="P74" s="1"/>
    </x:row>
    <x:row r="75" ht="16.5">
      <x:c r="A75"/>
      <x:c r="B75" s="11"/>
      <x:c r="C75" s="1"/>
      <x:c r="D75" s="19"/>
      <x:c r="E75" s="19"/>
      <x:c r="F75" s="12"/>
      <x:c r="G75" s="13"/>
      <x:c r="H75" s="1"/>
      <x:c r="I75" s="1"/>
      <x:c r="J75" s="1"/>
      <x:c r="K75" s="1"/>
      <x:c r="L75" s="1"/>
      <x:c r="M75" s="1"/>
      <x:c r="N75" s="1"/>
      <x:c r="O75" s="1"/>
      <x:c r="P75" s="1"/>
    </x:row>
    <x:row r="76" ht="16.5">
      <x:c r="A76"/>
      <x:c r="B76" s="11"/>
      <x:c r="C76" s="1"/>
      <x:c r="D76" s="19"/>
      <x:c r="E76" s="19"/>
      <x:c r="F76" s="12"/>
      <x:c r="G76" s="13"/>
      <x:c r="H76" s="1"/>
      <x:c r="I76" s="1"/>
      <x:c r="J76" s="1"/>
      <x:c r="K76" s="1"/>
      <x:c r="L76" s="1"/>
      <x:c r="M76" s="1"/>
      <x:c r="N76" s="1"/>
      <x:c r="O76" s="1"/>
      <x:c r="P76" s="1"/>
    </x:row>
    <x:row r="77" ht="16.5">
      <x:c r="A77"/>
      <x:c r="B77" s="11"/>
      <x:c r="C77" s="1"/>
      <x:c r="D77" s="19"/>
      <x:c r="E77" s="19"/>
      <x:c r="F77" s="12"/>
      <x:c r="G77" s="13"/>
      <x:c r="H77" s="1"/>
      <x:c r="I77" s="1"/>
      <x:c r="J77" s="1"/>
      <x:c r="K77" s="1"/>
      <x:c r="L77" s="1"/>
      <x:c r="M77" s="1"/>
      <x:c r="N77" s="1"/>
      <x:c r="O77" s="1"/>
      <x:c r="P77" s="1"/>
    </x:row>
    <x:row r="78" ht="16.5">
      <x:c r="A78"/>
      <x:c r="B78" s="11"/>
      <x:c r="C78" s="1"/>
      <x:c r="D78" s="19"/>
      <x:c r="E78" s="19"/>
      <x:c r="F78" s="12"/>
      <x:c r="G78" s="13"/>
      <x:c r="H78" s="1"/>
      <x:c r="I78" s="1"/>
      <x:c r="J78" s="1"/>
      <x:c r="K78" s="1"/>
      <x:c r="L78" s="1"/>
      <x:c r="M78" s="1"/>
      <x:c r="N78" s="1"/>
      <x:c r="O78" s="1"/>
      <x:c r="P78" s="1"/>
    </x:row>
  </x:sheetData>
  <x:mergeCells>
    <x:mergeCell ref="D5:E5"/>
    <x:mergeCell ref="F5:G5"/>
    <x:mergeCell ref="I5:K5"/>
    <x:mergeCell ref="F40:G40"/>
  </x:mergeCells>
  <x:pageMargins left="0.7" right="0.7" top="0.75" bottom="0.75" header="0.3" footer="0.3"/>
  <x:drawing xmlns:r="http://schemas.openxmlformats.org/officeDocument/2006/relationships" r:id="Rbd61a0f278a34d6f"/>
</x:worksheet>
</file>

<file path=xl/worksheets/sheet34.xml><?xml version="1.0" encoding="utf-8"?>
<x:worksheet xmlns:x="http://schemas.openxmlformats.org/spreadsheetml/2006/main">
  <x:sheetPr>
    <x:tabColor rgb="FF00B0F0"/>
  </x:sheetPr>
  <x:sheetFormatPr defaultRowHeight="15"/>
  <x:cols>
    <x:col min="1" max="1" width="13.42578125" style="14" customWidth="1"/>
    <x:col min="2" max="2" width="16.42578125" style="6" customWidth="1"/>
    <x:col min="3" max="3" width="19" customWidth="1"/>
    <x:col min="4" max="5" width="13" style="20" customWidth="1"/>
    <x:col min="6" max="6" width="17.42578125" style="20" customWidth="1"/>
    <x:col min="7" max="7" width="29.5703125" customWidth="1"/>
    <x:col min="8" max="8" width="11.42578125" customWidth="1"/>
    <x:col min="9" max="9" width="13.140625" customWidth="1"/>
  </x:cols>
  <x:sheetData>
    <x:row r="2" ht="18">
      <x:c r="A2" s="16" t="str">
        <x:v>DAILY SALES  - JANUARY 2027 (THIRD PARD)</x:v>
      </x:c>
      <x:c r="B2" s="16"/>
      <x:c r="C2" s="16"/>
      <x:c r="D2" s="18"/>
      <x:c r="E2" s="18"/>
      <x:c r="G2" s="20"/>
      <x:c r="H2" s="16"/>
      <x:c r="I2" s="16"/>
      <x:c r="J2" s="16"/>
      <x:c r="K2" s="16"/>
      <x:c r="L2" s="16"/>
      <x:c r="M2" s="16"/>
      <x:c r="N2" s="16"/>
      <x:c r="O2" s="16"/>
      <x:c r="P2" s="16"/>
    </x:row>
    <x:row r="3" ht="18">
      <x:c r="B3" s="24"/>
      <x:c r="C3" s="24"/>
      <x:c r="D3" s="18"/>
      <x:c r="E3" s="18"/>
      <x:c r="F3" s="18"/>
      <x:c r="G3" s="24"/>
      <x:c r="H3" s="24"/>
      <x:c r="I3" s="24"/>
      <x:c r="J3" s="24"/>
      <x:c r="K3" s="24"/>
      <x:c r="L3" s="24"/>
      <x:c r="M3" s="24"/>
      <x:c r="N3" s="24"/>
      <x:c r="O3" s="24"/>
      <x:c r="P3" s="24"/>
    </x:row>
    <x:row r="4" ht="16.5">
      <x:c r="B4" s="11"/>
      <x:c r="C4" s="1"/>
      <x:c r="D4" s="19"/>
      <x:c r="E4" s="19"/>
      <x:c r="F4" s="19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30">
      <x:c r="A5" s="21" t="s">
        <x:v>21</x:v>
      </x:c>
      <x:c r="B5" s="22" t="s">
        <x:v>22</x:v>
      </x:c>
      <x:c r="C5" s="106" t="s">
        <x:v>31</x:v>
      </x:c>
      <x:c r="D5" s="106" t="s">
        <x:v>32</x:v>
      </x:c>
      <x:c r="E5" s="105" t="s">
        <x:v>38</x:v>
      </x:c>
      <x:c r="F5" s="106" t="s">
        <x:v>33</x:v>
      </x:c>
      <x:c r="G5" s="2"/>
      <x:c r="H5" s="135" t="s">
        <x:v>26</x:v>
      </x:c>
      <x:c r="I5" s="135"/>
      <x:c r="J5" s="135"/>
      <x:c r="O5" s="1"/>
      <x:c r="P5" s="1"/>
    </x:row>
    <x:row r="6" ht="16.5">
      <x:c r="A6" s="21"/>
      <x:c r="B6" s="22"/>
      <x:c r="C6" s="23"/>
      <x:c r="D6" s="69"/>
      <x:c r="E6" s="69"/>
      <x:c r="F6" s="69" t="s">
        <x:v>39</x:v>
      </x:c>
      <x:c r="G6" s="2"/>
      <x:c r="H6" s="17"/>
      <x:c r="I6" s="17"/>
      <x:c r="J6" s="17"/>
      <x:c r="O6" s="1"/>
      <x:c r="P6" s="1"/>
    </x:row>
    <x:row r="7" ht="16.5">
      <x:c r="A7" s="15"/>
      <x:c r="B7" s="7"/>
      <x:c r="C7" s="5"/>
      <x:c r="D7" s="70"/>
      <x:c r="E7" s="70"/>
      <x:c r="F7" s="70" t="s">
        <x:v>40</x:v>
      </x:c>
      <x:c r="G7" s="2"/>
      <x:c r="H7" s="3" t="str">
        <x:f>C5</x:f>
        <x:v>Kitwe</x:v>
      </x:c>
      <x:c r="I7" s="10" t="str">
        <x:f>IF(C39="","",C39)</x:f>
      </x:c>
      <x:c r="J7" s="4" t="str">
        <x:f>IFERROR($C$39/$B$39,"")</x:f>
      </x:c>
      <x:c r="O7" s="1"/>
      <x:c r="P7" s="1"/>
    </x:row>
    <x:row r="8" ht="16.5">
      <x:c r="A8" s="171" t="n">
        <x:v>46388</x:v>
      </x:c>
      <x:c r="B8" s="52" t="str">
        <x:f>IF(SUM(C8:F8)=0,"",SUM(C8:F8))</x:f>
      </x:c>
      <x:c r="C8" s="53"/>
      <x:c r="D8" s="54"/>
      <x:c r="E8" s="54"/>
      <x:c r="F8" s="54"/>
      <x:c r="G8" s="1"/>
      <x:c r="H8" s="3" t="str">
        <x:f>D5</x:f>
        <x:v>Eldo</x:v>
      </x:c>
      <x:c r="I8" s="10" t="str">
        <x:f>IF(D39="","",D39)</x:f>
      </x:c>
      <x:c r="J8" s="4" t="str">
        <x:f>IFERROR($D$39/$B$39,"")</x:f>
      </x:c>
      <x:c r="O8" s="1"/>
      <x:c r="P8" s="1"/>
    </x:row>
    <x:row r="9" ht="16.5">
      <x:c r="A9" s="171" t="n">
        <x:v>46389</x:v>
      </x:c>
      <x:c r="B9" s="52" t="str">
        <x:f t="shared" ref="B9:B38" si="0">IF(SUM(C9:F9)=0,"",SUM(C9:F9))</x:f>
      </x:c>
      <x:c r="C9" s="53"/>
      <x:c r="D9" s="54"/>
      <x:c r="E9" s="54"/>
      <x:c r="F9" s="54"/>
      <x:c r="G9" s="1"/>
      <x:c r="H9" s="3" t="str">
        <x:f>F5</x:f>
        <x:v>Clubview</x:v>
      </x:c>
      <x:c r="I9" s="10" t="str">
        <x:f>IF(F39="","",F39)</x:f>
      </x:c>
      <x:c r="J9" s="4" t="str">
        <x:f>IFERROR($F$39/$B$39,"")</x:f>
      </x:c>
      <x:c r="O9" s="1"/>
      <x:c r="P9" s="1"/>
    </x:row>
    <x:row r="10" ht="16.5">
      <x:c r="A10" s="171" t="n">
        <x:v>46390</x:v>
      </x:c>
      <x:c r="B10" s="52" t="str">
        <x:f t="shared" si="0">IF(SUM(C10:F10)=0,"",SUM(C10:F10))</x:f>
      </x:c>
      <x:c r="C10" s="53"/>
      <x:c r="D10" s="54"/>
      <x:c r="E10" s="54"/>
      <x:c r="F10" s="54"/>
      <x:c r="G10" s="1"/>
      <x:c r="H10" s="39"/>
      <x:c r="I10" s="40" t="str">
        <x:f>IF(SUM(I7:I9)=0,"",SUM(I7:I9))</x:f>
      </x:c>
      <x:c r="J10" s="4" t="str">
        <x:f>IF(SUM(J7:J9)=0,"",SUM(J7:J9))</x:f>
      </x:c>
      <x:c r="K10" s="1"/>
      <x:c r="L10" s="1"/>
      <x:c r="M10" s="1"/>
      <x:c r="N10" s="1"/>
      <x:c r="O10" s="1"/>
      <x:c r="P10" s="1"/>
    </x:row>
    <x:row r="11" ht="16.5">
      <x:c r="A11" s="171" t="n">
        <x:v>46391</x:v>
      </x:c>
      <x:c r="B11" s="52" t="str">
        <x:f t="shared" si="0">IF(SUM(C11:F11)=0,"",SUM(C11:F11))</x:f>
      </x:c>
      <x:c r="C11" s="53"/>
      <x:c r="D11" s="54"/>
      <x:c r="E11" s="54"/>
      <x:c r="F11" s="54"/>
      <x:c r="G11" s="1"/>
      <x:c r="H11" s="3"/>
      <x:c r="I11" s="10"/>
      <x:c r="J11" s="4"/>
      <x:c r="K11" s="1"/>
      <x:c r="L11" s="1"/>
      <x:c r="M11" s="1"/>
      <x:c r="N11" s="1"/>
      <x:c r="O11" s="1"/>
      <x:c r="P11" s="1"/>
    </x:row>
    <x:row r="12" ht="16.5">
      <x:c r="A12" s="171" t="n">
        <x:v>46392</x:v>
      </x:c>
      <x:c r="B12" s="52" t="str">
        <x:f t="shared" si="0">IF(SUM(C12:F12)=0,"",SUM(C12:F12))</x:f>
      </x:c>
      <x:c r="C12" s="53"/>
      <x:c r="D12" s="54"/>
      <x:c r="E12" s="54"/>
      <x:c r="F12" s="54"/>
      <x:c r="G12" s="1"/>
      <x:c r="H12" s="1"/>
      <x:c r="I12" s="38"/>
      <x:c r="J12" s="30"/>
      <x:c r="K12" s="1"/>
      <x:c r="L12" s="1"/>
      <x:c r="M12" s="1"/>
      <x:c r="N12" s="1"/>
      <x:c r="O12" s="1"/>
      <x:c r="P12" s="1"/>
    </x:row>
    <x:row r="13" ht="16.5">
      <x:c r="A13" s="171" t="n">
        <x:v>46393</x:v>
      </x:c>
      <x:c r="B13" s="52" t="str">
        <x:f t="shared" si="0">IF(SUM(C13:F13)=0,"",SUM(C13:F13))</x:f>
      </x:c>
      <x:c r="C13" s="53"/>
      <x:c r="D13" s="54"/>
      <x:c r="E13" s="54"/>
      <x:c r="F13" s="54"/>
      <x:c r="G13" s="1"/>
      <x:c r="H13" s="1"/>
      <x:c r="I13" s="1"/>
      <x:c r="J13" s="1"/>
      <x:c r="K13" s="1"/>
      <x:c r="L13" s="1"/>
      <x:c r="M13" s="1"/>
      <x:c r="N13" s="1"/>
      <x:c r="O13" s="1"/>
      <x:c r="P13" s="1"/>
    </x:row>
    <x:row r="14" ht="16.5">
      <x:c r="A14" s="171" t="n">
        <x:v>46394</x:v>
      </x:c>
      <x:c r="B14" s="52" t="str">
        <x:f t="shared" si="0">IF(SUM(C14:F14)=0,"",SUM(C14:F14))</x:f>
      </x:c>
      <x:c r="C14" s="53"/>
      <x:c r="D14" s="54"/>
      <x:c r="E14" s="54"/>
      <x:c r="F14" s="54"/>
      <x:c r="G14" s="1"/>
      <x:c r="H14" s="1"/>
      <x:c r="I14" s="27"/>
      <x:c r="J14" s="28"/>
      <x:c r="K14" s="1"/>
      <x:c r="L14" s="1"/>
      <x:c r="M14" s="1"/>
      <x:c r="N14" s="1"/>
      <x:c r="O14" s="1"/>
      <x:c r="P14" s="1"/>
    </x:row>
    <x:row r="15" ht="16.5">
      <x:c r="A15" s="171" t="n">
        <x:v>46395</x:v>
      </x:c>
      <x:c r="B15" s="52" t="str">
        <x:f t="shared" si="0">IF(SUM(C15:F15)=0,"",SUM(C15:F15))</x:f>
      </x:c>
      <x:c r="C15" s="53"/>
      <x:c r="D15" s="54"/>
      <x:c r="E15" s="54"/>
      <x:c r="F15" s="54"/>
      <x:c r="G15" s="1"/>
      <x:c r="H15" s="1"/>
      <x:c r="I15" s="1"/>
      <x:c r="J15" s="1"/>
      <x:c r="K15" s="1"/>
      <x:c r="L15" s="1"/>
      <x:c r="M15" s="1"/>
      <x:c r="N15" s="1"/>
      <x:c r="O15" s="1"/>
      <x:c r="P15" s="1"/>
    </x:row>
    <x:row r="16" ht="16.5">
      <x:c r="A16" s="171" t="n">
        <x:v>46396</x:v>
      </x:c>
      <x:c r="B16" s="52" t="str">
        <x:f t="shared" si="0">IF(SUM(C16:F16)=0,"",SUM(C16:F16))</x:f>
      </x:c>
      <x:c r="C16" s="53"/>
      <x:c r="D16" s="54"/>
      <x:c r="E16" s="54"/>
      <x:c r="F16" s="54"/>
      <x:c r="G16" s="1"/>
      <x:c r="H16" s="1"/>
      <x:c r="I16" s="1"/>
      <x:c r="J16" s="1"/>
      <x:c r="K16" s="1"/>
      <x:c r="L16" s="1"/>
      <x:c r="M16" s="1"/>
      <x:c r="N16" s="1"/>
      <x:c r="O16" s="1"/>
      <x:c r="P16" s="1"/>
    </x:row>
    <x:row r="17" ht="16.5">
      <x:c r="A17" s="171" t="n">
        <x:v>46397</x:v>
      </x:c>
      <x:c r="B17" s="52" t="str">
        <x:f t="shared" si="0">IF(SUM(C17:F17)=0,"",SUM(C17:F17))</x:f>
      </x:c>
      <x:c r="C17" s="53"/>
      <x:c r="D17" s="54"/>
      <x:c r="E17" s="54"/>
      <x:c r="F17" s="54"/>
      <x:c r="G17" s="1"/>
      <x:c r="H17" s="1"/>
      <x:c r="I17" s="1"/>
      <x:c r="J17" s="1"/>
      <x:c r="K17" s="1"/>
      <x:c r="L17" s="1"/>
      <x:c r="M17" s="1"/>
      <x:c r="N17" s="1"/>
      <x:c r="O17" s="1"/>
      <x:c r="P17" s="1"/>
    </x:row>
    <x:row r="18" ht="16.5">
      <x:c r="A18" s="171" t="n">
        <x:v>46398</x:v>
      </x:c>
      <x:c r="B18" s="52" t="str">
        <x:f t="shared" si="0">IF(SUM(C18:F18)=0,"",SUM(C18:F18))</x:f>
      </x:c>
      <x:c r="C18" s="53"/>
      <x:c r="D18" s="54"/>
      <x:c r="E18" s="54"/>
      <x:c r="F18" s="54"/>
      <x:c r="G18" s="1"/>
      <x:c r="H18" s="1"/>
      <x:c r="I18" s="1"/>
      <x:c r="J18" s="1"/>
      <x:c r="K18" s="1"/>
      <x:c r="L18" s="1"/>
      <x:c r="M18" s="1"/>
      <x:c r="N18" s="1"/>
      <x:c r="O18" s="1"/>
      <x:c r="P18" s="1"/>
    </x:row>
    <x:row r="19" ht="16.5">
      <x:c r="A19" s="171" t="n">
        <x:v>46399</x:v>
      </x:c>
      <x:c r="B19" s="52" t="str">
        <x:f t="shared" si="0">IF(SUM(C19:F19)=0,"",SUM(C19:F19))</x:f>
      </x:c>
      <x:c r="C19" s="53"/>
      <x:c r="D19" s="54"/>
      <x:c r="E19" s="54"/>
      <x:c r="F19" s="54"/>
      <x:c r="G19" s="1"/>
      <x:c r="H19" s="1"/>
      <x:c r="I19" s="1"/>
      <x:c r="J19" s="1"/>
      <x:c r="K19" s="1"/>
      <x:c r="L19" s="1"/>
      <x:c r="M19" s="1"/>
      <x:c r="N19" s="1"/>
      <x:c r="O19" s="1"/>
      <x:c r="P19" s="1"/>
    </x:row>
    <x:row r="20" ht="16.5">
      <x:c r="A20" s="171" t="n">
        <x:v>46400</x:v>
      </x:c>
      <x:c r="B20" s="52" t="str">
        <x:f t="shared" si="0">IF(SUM(C20:F20)=0,"",SUM(C20:F20))</x:f>
      </x:c>
      <x:c r="C20" s="53"/>
      <x:c r="D20" s="54"/>
      <x:c r="E20" s="54"/>
      <x:c r="F20" s="54"/>
      <x:c r="G20" s="1"/>
      <x:c r="H20" s="1"/>
      <x:c r="I20" s="1"/>
      <x:c r="J20" s="1"/>
      <x:c r="K20" s="1"/>
      <x:c r="L20" s="1"/>
      <x:c r="M20" s="1"/>
      <x:c r="N20" s="1"/>
      <x:c r="O20" s="1"/>
      <x:c r="P20" s="1"/>
    </x:row>
    <x:row r="21" ht="16.5">
      <x:c r="A21" s="171" t="n">
        <x:v>46401</x:v>
      </x:c>
      <x:c r="B21" s="52" t="str">
        <x:f t="shared" si="0">IF(SUM(C21:F21)=0,"",SUM(C21:F21))</x:f>
      </x:c>
      <x:c r="C21" s="53"/>
      <x:c r="D21" s="54"/>
      <x:c r="E21" s="54"/>
      <x:c r="F21" s="54"/>
      <x:c r="G21" s="1"/>
      <x:c r="H21" s="1"/>
      <x:c r="I21" s="1"/>
      <x:c r="J21" s="1"/>
      <x:c r="K21" s="1"/>
      <x:c r="L21" s="1"/>
      <x:c r="M21" s="1"/>
      <x:c r="N21" s="1"/>
      <x:c r="O21" s="1"/>
      <x:c r="P21" s="1"/>
    </x:row>
    <x:row r="22" ht="16.5">
      <x:c r="A22" s="171" t="n">
        <x:v>46402</x:v>
      </x:c>
      <x:c r="B22" s="52" t="str">
        <x:f t="shared" si="0">IF(SUM(C22:F22)=0,"",SUM(C22:F22))</x:f>
      </x:c>
      <x:c r="C22" s="53"/>
      <x:c r="D22" s="54"/>
      <x:c r="E22" s="54"/>
      <x:c r="F22" s="54"/>
      <x:c r="G22" s="1"/>
      <x:c r="H22" s="1"/>
      <x:c r="I22" s="1"/>
      <x:c r="J22" s="1"/>
      <x:c r="K22" s="1"/>
      <x:c r="L22" s="1"/>
      <x:c r="M22" s="1"/>
      <x:c r="N22" s="1"/>
      <x:c r="O22" s="1"/>
      <x:c r="P22" s="1"/>
    </x:row>
    <x:row r="23" ht="16.5">
      <x:c r="A23" s="171" t="n">
        <x:v>46403</x:v>
      </x:c>
      <x:c r="B23" s="52" t="str">
        <x:f t="shared" si="0">IF(SUM(C23:F23)=0,"",SUM(C23:F23))</x:f>
      </x:c>
      <x:c r="C23" s="53"/>
      <x:c r="D23" s="54"/>
      <x:c r="E23" s="54"/>
      <x:c r="F23" s="54"/>
      <x:c r="G23" s="1"/>
      <x:c r="H23" s="1"/>
      <x:c r="I23" s="1"/>
      <x:c r="J23" s="1"/>
      <x:c r="K23" s="1"/>
      <x:c r="L23" s="1"/>
      <x:c r="M23" s="1"/>
      <x:c r="N23" s="1"/>
      <x:c r="O23" s="1"/>
      <x:c r="P23" s="1"/>
    </x:row>
    <x:row r="24" ht="16.5">
      <x:c r="A24" s="171" t="n">
        <x:v>46404</x:v>
      </x:c>
      <x:c r="B24" s="52" t="str">
        <x:f t="shared" si="0">IF(SUM(C24:F24)=0,"",SUM(C24:F24))</x:f>
      </x:c>
      <x:c r="C24" s="53"/>
      <x:c r="D24" s="54"/>
      <x:c r="E24" s="54"/>
      <x:c r="F24" s="54"/>
      <x:c r="G24" s="1"/>
      <x:c r="H24" s="1"/>
      <x:c r="I24" s="1"/>
      <x:c r="J24" s="1"/>
      <x:c r="K24" s="1"/>
      <x:c r="L24" s="1"/>
      <x:c r="M24" s="1"/>
      <x:c r="N24" s="1"/>
      <x:c r="O24" s="1"/>
      <x:c r="P24" s="1"/>
    </x:row>
    <x:row r="25" ht="16.5">
      <x:c r="A25" s="171" t="n">
        <x:v>46405</x:v>
      </x:c>
      <x:c r="B25" s="52" t="str">
        <x:f t="shared" si="0">IF(SUM(C25:F25)=0,"",SUM(C25:F25))</x:f>
      </x:c>
      <x:c r="C25" s="53"/>
      <x:c r="D25" s="54"/>
      <x:c r="E25" s="54"/>
      <x:c r="F25" s="54"/>
      <x:c r="G25" s="1"/>
      <x:c r="H25" s="34"/>
      <x:c r="I25" s="34"/>
      <x:c r="J25" s="34"/>
      <x:c r="K25" s="1"/>
      <x:c r="L25" s="1"/>
      <x:c r="M25" s="1"/>
      <x:c r="N25" s="1"/>
      <x:c r="O25" s="1"/>
      <x:c r="P25" s="1"/>
    </x:row>
    <x:row r="26" ht="16.5">
      <x:c r="A26" s="171" t="n">
        <x:v>46406</x:v>
      </x:c>
      <x:c r="B26" s="52" t="str">
        <x:f t="shared" si="0">IF(SUM(C26:F26)=0,"",SUM(C26:F26))</x:f>
      </x:c>
      <x:c r="C26" s="53"/>
      <x:c r="D26" s="54"/>
      <x:c r="E26" s="54"/>
      <x:c r="F26" s="54"/>
      <x:c r="G26" s="1"/>
      <x:c r="H26" s="33"/>
      <x:c r="I26" s="33"/>
      <x:c r="J26" s="33"/>
      <x:c r="K26" s="1"/>
      <x:c r="L26" s="1"/>
      <x:c r="M26" s="1"/>
      <x:c r="N26" s="1"/>
      <x:c r="O26" s="1"/>
      <x:c r="P26" s="1"/>
    </x:row>
    <x:row r="27" ht="16.5">
      <x:c r="A27" s="171" t="n">
        <x:v>46407</x:v>
      </x:c>
      <x:c r="B27" s="52" t="str">
        <x:f t="shared" si="0">IF(SUM(C27:F27)=0,"",SUM(C27:F27))</x:f>
      </x:c>
      <x:c r="C27" s="53"/>
      <x:c r="D27" s="54"/>
      <x:c r="E27" s="54"/>
      <x:c r="F27" s="54"/>
      <x:c r="G27" s="1"/>
      <x:c r="H27" s="34"/>
      <x:c r="I27" s="35"/>
      <x:c r="J27" s="36"/>
      <x:c r="K27" s="1"/>
      <x:c r="L27" s="1"/>
      <x:c r="M27" s="1"/>
      <x:c r="N27" s="1"/>
      <x:c r="O27" s="1"/>
      <x:c r="P27" s="1"/>
    </x:row>
    <x:row r="28" ht="16.5">
      <x:c r="A28" s="171" t="n">
        <x:v>46408</x:v>
      </x:c>
      <x:c r="B28" s="52" t="str">
        <x:f t="shared" si="0">IF(SUM(C28:F28)=0,"",SUM(C28:F28))</x:f>
      </x:c>
      <x:c r="C28" s="53"/>
      <x:c r="D28" s="54"/>
      <x:c r="E28" s="54"/>
      <x:c r="F28" s="54"/>
      <x:c r="G28" s="1"/>
      <x:c r="H28" s="34"/>
      <x:c r="I28" s="37"/>
      <x:c r="J28" s="36"/>
      <x:c r="K28" s="1"/>
      <x:c r="L28" s="1"/>
      <x:c r="M28" s="1"/>
      <x:c r="N28" s="1"/>
      <x:c r="O28" s="1"/>
      <x:c r="P28" s="1"/>
    </x:row>
    <x:row r="29" ht="16.5">
      <x:c r="A29" s="171" t="n">
        <x:v>46409</x:v>
      </x:c>
      <x:c r="B29" s="52" t="str">
        <x:f t="shared" si="0">IF(SUM(C29:F29)=0,"",SUM(C29:F29))</x:f>
      </x:c>
      <x:c r="C29" s="55"/>
      <x:c r="D29" s="56"/>
      <x:c r="E29" s="56"/>
      <x:c r="F29" s="56"/>
      <x:c r="G29" s="1"/>
      <x:c r="H29" s="1"/>
      <x:c r="I29" s="29"/>
      <x:c r="J29" s="30"/>
      <x:c r="K29" s="1"/>
      <x:c r="L29" s="1"/>
      <x:c r="M29" s="1"/>
      <x:c r="N29" s="1"/>
      <x:c r="O29" s="1"/>
      <x:c r="P29" s="1"/>
    </x:row>
    <x:row r="30" ht="16.5">
      <x:c r="A30" s="171" t="n">
        <x:v>46410</x:v>
      </x:c>
      <x:c r="B30" s="52" t="str">
        <x:f t="shared" si="0">IF(SUM(C30:F30)=0,"",SUM(C30:F30))</x:f>
      </x:c>
      <x:c r="C30" s="53"/>
      <x:c r="D30" s="54"/>
      <x:c r="E30" s="54"/>
      <x:c r="F30" s="54"/>
      <x:c r="G30" s="1"/>
      <x:c r="H30" s="1"/>
      <x:c r="I30" s="31"/>
      <x:c r="J30" s="30"/>
      <x:c r="K30" s="1"/>
      <x:c r="L30" s="1"/>
      <x:c r="M30" s="1"/>
      <x:c r="N30" s="1"/>
      <x:c r="O30" s="1"/>
      <x:c r="P30" s="1"/>
    </x:row>
    <x:row r="31" ht="16.5">
      <x:c r="A31" s="171" t="n">
        <x:v>46411</x:v>
      </x:c>
      <x:c r="B31" s="52" t="str">
        <x:f t="shared" si="0">IF(SUM(C31:F31)=0,"",SUM(C31:F31))</x:f>
      </x:c>
      <x:c r="C31" s="53"/>
      <x:c r="D31" s="54"/>
      <x:c r="E31" s="54"/>
      <x:c r="F31" s="54"/>
      <x:c r="G31" s="1"/>
      <x:c r="H31" s="1"/>
      <x:c r="I31" s="29"/>
      <x:c r="J31" s="30"/>
      <x:c r="K31" s="1"/>
      <x:c r="L31" s="1"/>
      <x:c r="M31" s="1"/>
      <x:c r="N31" s="1"/>
      <x:c r="O31" s="1"/>
      <x:c r="P31" s="1"/>
    </x:row>
    <x:row r="32" ht="16.5">
      <x:c r="A32" s="171" t="n">
        <x:v>46412</x:v>
      </x:c>
      <x:c r="B32" s="52" t="str">
        <x:f t="shared" si="0">IF(SUM(C32:F32)=0,"",SUM(C32:F32))</x:f>
      </x:c>
      <x:c r="C32" s="53"/>
      <x:c r="D32" s="54"/>
      <x:c r="E32" s="54"/>
      <x:c r="F32" s="54"/>
      <x:c r="G32" s="1"/>
      <x:c r="H32" s="1"/>
      <x:c r="I32" s="31"/>
      <x:c r="J32" s="30"/>
      <x:c r="K32" s="1"/>
      <x:c r="L32" s="1"/>
      <x:c r="M32" s="1"/>
      <x:c r="N32" s="1"/>
      <x:c r="O32" s="1"/>
      <x:c r="P32" s="1"/>
    </x:row>
    <x:row r="33" ht="16.5">
      <x:c r="A33" s="171" t="n">
        <x:v>46413</x:v>
      </x:c>
      <x:c r="B33" s="52" t="str">
        <x:f t="shared" si="0">IF(SUM(C33:F33)=0,"",SUM(C33:F33))</x:f>
      </x:c>
      <x:c r="C33" s="53"/>
      <x:c r="D33" s="54"/>
      <x:c r="E33" s="54"/>
      <x:c r="F33" s="54"/>
      <x:c r="G33" s="1"/>
      <x:c r="H33" s="1"/>
      <x:c r="I33" s="32"/>
      <x:c r="J33" s="30"/>
      <x:c r="K33" s="1"/>
      <x:c r="L33" s="1"/>
      <x:c r="M33" s="1"/>
      <x:c r="N33" s="1"/>
      <x:c r="O33" s="1"/>
      <x:c r="P33" s="1"/>
    </x:row>
    <x:row r="34" ht="16.5">
      <x:c r="A34" s="171" t="n">
        <x:v>46414</x:v>
      </x:c>
      <x:c r="B34" s="52" t="str">
        <x:f t="shared" si="0">IF(SUM(C34:F34)=0,"",SUM(C34:F34))</x:f>
      </x:c>
      <x:c r="C34" s="53"/>
      <x:c r="D34" s="54"/>
      <x:c r="E34" s="54"/>
      <x:c r="F34" s="54"/>
      <x:c r="G34" s="1"/>
      <x:c r="H34" s="1"/>
      <x:c r="I34" s="1"/>
      <x:c r="J34" s="1"/>
      <x:c r="K34" s="1"/>
      <x:c r="L34" s="1"/>
      <x:c r="M34" s="1"/>
      <x:c r="N34" s="1"/>
      <x:c r="O34" s="1"/>
      <x:c r="P34" s="1"/>
    </x:row>
    <x:row r="35" ht="16.5">
      <x:c r="A35" s="171" t="n">
        <x:v>46415</x:v>
      </x:c>
      <x:c r="B35" s="52" t="str">
        <x:f t="shared" si="0">IF(SUM(C35:F35)=0,"",SUM(C35:F35))</x:f>
      </x:c>
      <x:c r="C35" s="53"/>
      <x:c r="D35" s="54"/>
      <x:c r="E35" s="54"/>
      <x:c r="F35" s="54"/>
      <x:c r="G35" s="1"/>
      <x:c r="H35" s="1"/>
      <x:c r="I35" s="1"/>
      <x:c r="J35" s="1"/>
      <x:c r="K35" s="1"/>
      <x:c r="L35" s="1"/>
      <x:c r="M35" s="1"/>
      <x:c r="N35" s="1"/>
      <x:c r="O35" s="1"/>
      <x:c r="P35" s="1"/>
    </x:row>
    <x:row r="36" ht="16.5">
      <x:c r="A36" s="171" t="n">
        <x:v>46416</x:v>
      </x:c>
      <x:c r="B36" s="52" t="str">
        <x:f t="shared" si="0">IF(SUM(C36:F36)=0,"",SUM(C36:F36))</x:f>
      </x:c>
      <x:c r="C36" s="53"/>
      <x:c r="D36" s="54"/>
      <x:c r="E36" s="54"/>
      <x:c r="F36" s="54"/>
      <x:c r="G36" s="1"/>
      <x:c r="H36" s="1"/>
      <x:c r="I36" s="1"/>
      <x:c r="J36" s="1"/>
      <x:c r="K36" s="1"/>
      <x:c r="L36" s="1"/>
      <x:c r="M36" s="1"/>
      <x:c r="N36" s="1"/>
      <x:c r="O36" s="1"/>
      <x:c r="P36" s="1"/>
    </x:row>
    <x:row r="37" ht="16.5">
      <x:c r="A37" s="171" t="n">
        <x:v>46417</x:v>
      </x:c>
      <x:c r="B37" s="52" t="str">
        <x:f t="shared" si="0">IF(SUM(C37:F37)=0,"",SUM(C37:F37))</x:f>
      </x:c>
      <x:c r="C37" s="53"/>
      <x:c r="D37" s="54"/>
      <x:c r="E37" s="54"/>
      <x:c r="F37" s="54"/>
      <x:c r="G37" s="1"/>
      <x:c r="H37" s="1"/>
      <x:c r="I37" s="1"/>
      <x:c r="J37" s="1"/>
      <x:c r="K37" s="1"/>
      <x:c r="L37" s="1"/>
      <x:c r="M37" s="1"/>
      <x:c r="N37" s="1"/>
      <x:c r="O37" s="1"/>
      <x:c r="P37" s="1"/>
    </x:row>
    <x:row r="38" ht="16.5">
      <x:c r="A38" s="171" t="n">
        <x:v>46418</x:v>
      </x:c>
      <x:c r="B38" s="52" t="str">
        <x:f t="shared" si="0">IF(SUM(C38:F38)=0,"",SUM(C38:F38))</x:f>
      </x:c>
      <x:c r="C38" s="53"/>
      <x:c r="D38" s="54"/>
      <x:c r="E38" s="54"/>
      <x:c r="F38" s="54"/>
      <x:c r="G38" s="1"/>
      <x:c r="H38" s="1"/>
      <x:c r="I38" s="1"/>
      <x:c r="J38" s="1"/>
      <x:c r="K38" s="1"/>
      <x:c r="L38" s="1"/>
      <x:c r="M38" s="1"/>
      <x:c r="N38" s="1"/>
      <x:c r="O38" s="1"/>
      <x:c r="P38" s="1"/>
    </x:row>
    <x:row r="39" ht="16.5">
      <x:c r="A39" s="51"/>
      <x:c r="B39" s="57" t="str">
        <x:f>IF(SUM(B8:B38)=0,"",SUM(B8:B38))</x:f>
      </x:c>
      <x:c r="C39" s="58" t="str">
        <x:f>IF(SUM(C8:C38)=0,"",SUM(C8:C38))</x:f>
      </x:c>
      <x:c r="D39" s="59" t="str">
        <x:f>IF(SUM(D8:D38)=0,"",SUM(D8:D38))</x:f>
      </x:c>
      <x:c r="E39" s="59" t="str">
        <x:f>IF(SUM(E8:E38)=0,"",SUM(E8:E38))</x:f>
      </x:c>
      <x:c r="F39" s="59" t="str">
        <x:f>IF(SUM(F8:F38)=0,"",SUM(F8:F38))</x:f>
      </x:c>
      <x:c r="G39" s="1"/>
      <x:c r="H39" s="1"/>
      <x:c r="I39" s="1"/>
      <x:c r="J39" s="1"/>
      <x:c r="K39" s="1"/>
      <x:c r="L39" s="1"/>
      <x:c r="M39" s="1"/>
      <x:c r="N39" s="1"/>
      <x:c r="O39" s="1"/>
      <x:c r="P39" s="1"/>
    </x:row>
    <x:row r="40" ht="16.5">
      <x:c r="B40" s="11"/>
      <x:c r="C40" s="1"/>
      <x:c r="D40" s="19"/>
      <x:c r="E40" s="19"/>
      <x:c r="F40" s="19"/>
      <x:c r="G40" s="1"/>
      <x:c r="H40" s="1"/>
      <x:c r="I40" s="1"/>
      <x:c r="J40" s="1"/>
      <x:c r="K40" s="1"/>
      <x:c r="L40" s="1"/>
      <x:c r="M40" s="1"/>
      <x:c r="N40" s="1"/>
      <x:c r="O40" s="1"/>
      <x:c r="P40" s="1"/>
    </x:row>
    <x:row r="41" ht="16.5">
      <x:c r="B41" s="11"/>
      <x:c r="C41" s="1"/>
      <x:c r="D41" s="19"/>
      <x:c r="E41" s="19"/>
      <x:c r="F41" s="19"/>
      <x:c r="G41" s="1"/>
      <x:c r="H41" s="1"/>
      <x:c r="I41" s="1"/>
      <x:c r="J41" s="1"/>
      <x:c r="K41" s="1"/>
      <x:c r="L41" s="1"/>
      <x:c r="M41" s="1"/>
      <x:c r="N41" s="1"/>
      <x:c r="O41" s="1"/>
      <x:c r="P41" s="1"/>
    </x:row>
    <x:row r="42" ht="16.5">
      <x:c r="B42" s="11"/>
      <x:c r="C42" s="27"/>
      <x:c r="D42" s="19"/>
      <x:c r="E42" s="19"/>
      <x:c r="F42" s="19"/>
      <x:c r="G42" s="1"/>
      <x:c r="H42" s="1"/>
      <x:c r="I42" s="1"/>
      <x:c r="J42" s="1"/>
      <x:c r="K42" s="1"/>
      <x:c r="L42" s="1"/>
      <x:c r="M42" s="1"/>
      <x:c r="N42" s="1"/>
      <x:c r="O42" s="1"/>
      <x:c r="P42" s="1"/>
    </x:row>
    <x:row r="43" ht="16.5">
      <x:c r="B43" s="11"/>
      <x:c r="C43" s="27"/>
      <x:c r="D43" s="19"/>
      <x:c r="E43" s="19"/>
      <x:c r="F43" s="19"/>
      <x:c r="G43" s="1"/>
      <x:c r="H43" s="1"/>
      <x:c r="I43" s="1"/>
      <x:c r="J43" s="1"/>
      <x:c r="K43" s="1"/>
      <x:c r="L43" s="1"/>
      <x:c r="M43" s="1"/>
      <x:c r="N43" s="1"/>
      <x:c r="O43" s="1"/>
      <x:c r="P43" s="1"/>
    </x:row>
    <x:row r="44" ht="16.5">
      <x:c r="B44" s="11"/>
      <x:c r="C44" s="27"/>
      <x:c r="D44" s="19"/>
      <x:c r="E44" s="19"/>
      <x:c r="F44" s="19"/>
      <x:c r="G44" s="1"/>
      <x:c r="H44" s="1"/>
      <x:c r="I44" s="1"/>
      <x:c r="J44" s="1"/>
      <x:c r="K44" s="1"/>
      <x:c r="L44" s="1"/>
      <x:c r="M44" s="1"/>
      <x:c r="N44" s="1"/>
      <x:c r="O44" s="1"/>
      <x:c r="P44" s="1"/>
    </x:row>
    <x:row r="45" ht="16.5">
      <x:c r="B45" s="11"/>
      <x:c r="C45" s="1"/>
      <x:c r="D45" s="19"/>
      <x:c r="E45" s="19"/>
      <x:c r="F45" s="19"/>
      <x:c r="G45" s="1"/>
      <x:c r="H45" s="1"/>
      <x:c r="I45" s="1"/>
      <x:c r="J45" s="1"/>
      <x:c r="K45" s="1"/>
      <x:c r="L45" s="1"/>
      <x:c r="M45" s="1"/>
      <x:c r="N45" s="1"/>
      <x:c r="O45" s="1"/>
      <x:c r="P45" s="1"/>
    </x:row>
    <x:row r="46" ht="16.5">
      <x:c r="B46" s="11"/>
      <x:c r="C46" s="1"/>
      <x:c r="D46" s="19"/>
      <x:c r="E46" s="19"/>
      <x:c r="F46" s="19"/>
      <x:c r="G46" s="1"/>
      <x:c r="H46" s="1"/>
      <x:c r="I46" s="1"/>
      <x:c r="J46" s="1"/>
      <x:c r="K46" s="1"/>
      <x:c r="L46" s="1"/>
      <x:c r="M46" s="1"/>
      <x:c r="N46" s="1"/>
      <x:c r="O46" s="1"/>
      <x:c r="P46" s="1"/>
    </x:row>
    <x:row r="47" ht="16.5">
      <x:c r="B47" s="11"/>
      <x:c r="C47" s="1"/>
      <x:c r="D47" s="19"/>
      <x:c r="E47" s="19"/>
      <x:c r="F47" s="19"/>
      <x:c r="G47" s="1"/>
      <x:c r="H47" s="1"/>
      <x:c r="I47" s="1"/>
      <x:c r="J47" s="1"/>
      <x:c r="K47" s="1"/>
      <x:c r="L47" s="1"/>
      <x:c r="M47" s="1"/>
      <x:c r="N47" s="1"/>
      <x:c r="O47" s="1"/>
      <x:c r="P47" s="1"/>
    </x:row>
    <x:row r="48" ht="16.5">
      <x:c r="B48" s="11"/>
      <x:c r="C48" s="1"/>
      <x:c r="D48" s="19"/>
      <x:c r="E48" s="19"/>
      <x:c r="F48" s="19"/>
      <x:c r="G48" s="1"/>
      <x:c r="H48" s="1"/>
      <x:c r="I48" s="1"/>
      <x:c r="J48" s="1"/>
      <x:c r="K48" s="1"/>
      <x:c r="L48" s="1"/>
      <x:c r="M48" s="1"/>
      <x:c r="N48" s="1"/>
      <x:c r="O48" s="1"/>
      <x:c r="P48" s="1"/>
    </x:row>
    <x:row r="49" ht="16.5">
      <x:c r="A49"/>
      <x:c r="B49" s="11"/>
      <x:c r="C49" s="1"/>
      <x:c r="D49" s="19"/>
      <x:c r="E49" s="19"/>
      <x:c r="F49" s="19"/>
      <x:c r="G49" s="1"/>
      <x:c r="H49" s="1"/>
      <x:c r="I49" s="1"/>
      <x:c r="J49" s="1"/>
      <x:c r="K49" s="1"/>
      <x:c r="L49" s="1"/>
      <x:c r="M49" s="1"/>
      <x:c r="N49" s="1"/>
      <x:c r="O49" s="1"/>
      <x:c r="P49" s="1"/>
    </x:row>
    <x:row r="50" ht="16.5">
      <x:c r="A50"/>
      <x:c r="B50" s="11"/>
      <x:c r="C50" s="1"/>
      <x:c r="D50" s="19"/>
      <x:c r="E50" s="19"/>
      <x:c r="F50" s="19"/>
      <x:c r="G50" s="1"/>
      <x:c r="H50" s="1"/>
      <x:c r="I50" s="1"/>
      <x:c r="J50" s="1"/>
      <x:c r="K50" s="1"/>
      <x:c r="L50" s="1"/>
      <x:c r="M50" s="1"/>
      <x:c r="N50" s="1"/>
      <x:c r="O50" s="1"/>
      <x:c r="P50" s="1"/>
    </x:row>
    <x:row r="51" ht="16.5">
      <x:c r="A51"/>
      <x:c r="B51" s="11"/>
      <x:c r="C51" s="1"/>
      <x:c r="D51" s="19"/>
      <x:c r="E51" s="19"/>
      <x:c r="F51" s="19"/>
      <x:c r="G51" s="1"/>
      <x:c r="H51" s="1"/>
      <x:c r="I51" s="1"/>
      <x:c r="J51" s="1"/>
      <x:c r="K51" s="1"/>
      <x:c r="L51" s="1"/>
      <x:c r="M51" s="1"/>
      <x:c r="N51" s="1"/>
      <x:c r="O51" s="1"/>
      <x:c r="P51" s="1"/>
    </x:row>
    <x:row r="52" ht="16.5">
      <x:c r="A52"/>
      <x:c r="B52" s="11"/>
      <x:c r="C52" s="1"/>
      <x:c r="D52" s="19"/>
      <x:c r="E52" s="19"/>
      <x:c r="F52" s="19"/>
      <x:c r="G52" s="1"/>
      <x:c r="H52" s="1"/>
      <x:c r="I52" s="1"/>
      <x:c r="J52" s="1"/>
      <x:c r="K52" s="1"/>
      <x:c r="L52" s="1"/>
      <x:c r="M52" s="1"/>
      <x:c r="N52" s="1"/>
      <x:c r="O52" s="1"/>
      <x:c r="P52" s="1"/>
    </x:row>
    <x:row r="53" ht="16.5">
      <x:c r="A53"/>
      <x:c r="B53" s="11"/>
      <x:c r="C53" s="1"/>
      <x:c r="D53" s="19"/>
      <x:c r="E53" s="19"/>
      <x:c r="F53" s="19"/>
      <x:c r="G53" s="1"/>
      <x:c r="H53" s="1"/>
      <x:c r="I53" s="1"/>
      <x:c r="J53" s="1"/>
      <x:c r="K53" s="1"/>
      <x:c r="L53" s="1"/>
      <x:c r="M53" s="1"/>
      <x:c r="N53" s="1"/>
      <x:c r="O53" s="1"/>
      <x:c r="P53" s="1"/>
    </x:row>
    <x:row r="54" ht="16.5">
      <x:c r="A54"/>
      <x:c r="B54" s="11"/>
      <x:c r="C54" s="1"/>
      <x:c r="D54" s="19"/>
      <x:c r="E54" s="19"/>
      <x:c r="F54" s="19"/>
      <x:c r="G54" s="1"/>
      <x:c r="H54" s="1"/>
      <x:c r="I54" s="1"/>
      <x:c r="J54" s="1"/>
      <x:c r="K54" s="1"/>
      <x:c r="L54" s="1"/>
      <x:c r="M54" s="1"/>
      <x:c r="N54" s="1"/>
      <x:c r="O54" s="1"/>
      <x:c r="P54" s="1"/>
    </x:row>
    <x:row r="55" ht="16.5">
      <x:c r="A55"/>
      <x:c r="B55" s="11"/>
      <x:c r="C55" s="1"/>
      <x:c r="D55" s="19"/>
      <x:c r="E55" s="19"/>
      <x:c r="F55" s="19"/>
      <x:c r="G55" s="1"/>
      <x:c r="H55" s="1"/>
      <x:c r="I55" s="1"/>
      <x:c r="J55" s="1"/>
      <x:c r="K55" s="1"/>
      <x:c r="L55" s="1"/>
      <x:c r="M55" s="1"/>
      <x:c r="N55" s="1"/>
      <x:c r="O55" s="1"/>
      <x:c r="P55" s="1"/>
    </x:row>
    <x:row r="56" ht="16.5">
      <x:c r="A56"/>
      <x:c r="B56" s="11"/>
      <x:c r="C56" s="1"/>
      <x:c r="D56" s="19"/>
      <x:c r="E56" s="19"/>
      <x:c r="F56" s="19"/>
      <x:c r="G56" s="1"/>
      <x:c r="H56" s="1"/>
      <x:c r="I56" s="1"/>
      <x:c r="J56" s="1"/>
      <x:c r="K56" s="1"/>
      <x:c r="L56" s="1"/>
      <x:c r="M56" s="1"/>
      <x:c r="N56" s="1"/>
      <x:c r="O56" s="1"/>
      <x:c r="P56" s="1"/>
    </x:row>
    <x:row r="57" ht="16.5">
      <x:c r="A57"/>
      <x:c r="B57" s="11"/>
      <x:c r="C57" s="1"/>
      <x:c r="D57" s="19"/>
      <x:c r="E57" s="19"/>
      <x:c r="F57" s="19"/>
      <x:c r="G57" s="1"/>
      <x:c r="H57" s="1"/>
      <x:c r="I57" s="1"/>
      <x:c r="J57" s="1"/>
      <x:c r="K57" s="1"/>
      <x:c r="L57" s="1"/>
      <x:c r="M57" s="1"/>
      <x:c r="N57" s="1"/>
      <x:c r="O57" s="1"/>
      <x:c r="P57" s="1"/>
    </x:row>
    <x:row r="58" ht="16.5">
      <x:c r="A58"/>
      <x:c r="B58" s="11"/>
      <x:c r="C58" s="1"/>
      <x:c r="D58" s="19"/>
      <x:c r="E58" s="19"/>
      <x:c r="F58" s="19"/>
      <x:c r="G58" s="1"/>
      <x:c r="H58" s="1"/>
      <x:c r="I58" s="1"/>
      <x:c r="J58" s="1"/>
      <x:c r="K58" s="1"/>
      <x:c r="L58" s="1"/>
      <x:c r="M58" s="1"/>
      <x:c r="N58" s="1"/>
      <x:c r="O58" s="1"/>
      <x:c r="P58" s="1"/>
    </x:row>
    <x:row r="59" ht="16.5">
      <x:c r="A59"/>
      <x:c r="B59" s="11"/>
      <x:c r="C59" s="1"/>
      <x:c r="D59" s="19"/>
      <x:c r="E59" s="19"/>
      <x:c r="F59" s="19"/>
      <x:c r="G59" s="1"/>
      <x:c r="H59" s="1"/>
      <x:c r="I59" s="1"/>
      <x:c r="J59" s="1"/>
      <x:c r="K59" s="1"/>
      <x:c r="L59" s="1"/>
      <x:c r="M59" s="1"/>
      <x:c r="N59" s="1"/>
      <x:c r="O59" s="1"/>
      <x:c r="P59" s="1"/>
    </x:row>
    <x:row r="60" ht="16.5">
      <x:c r="A60"/>
      <x:c r="B60" s="11"/>
      <x:c r="C60" s="1"/>
      <x:c r="D60" s="19"/>
      <x:c r="E60" s="19"/>
      <x:c r="F60" s="19"/>
      <x:c r="G60" s="1"/>
      <x:c r="H60" s="1"/>
      <x:c r="I60" s="1"/>
      <x:c r="J60" s="1"/>
      <x:c r="K60" s="1"/>
      <x:c r="L60" s="1"/>
      <x:c r="M60" s="1"/>
      <x:c r="N60" s="1"/>
      <x:c r="O60" s="1"/>
      <x:c r="P60" s="1"/>
    </x:row>
    <x:row r="61" ht="16.5">
      <x:c r="A61"/>
      <x:c r="B61" s="11"/>
      <x:c r="C61" s="1"/>
      <x:c r="D61" s="19"/>
      <x:c r="E61" s="19"/>
      <x:c r="F61" s="19"/>
      <x:c r="G61" s="1"/>
      <x:c r="H61" s="1"/>
      <x:c r="I61" s="1"/>
      <x:c r="J61" s="1"/>
      <x:c r="K61" s="1"/>
      <x:c r="L61" s="1"/>
      <x:c r="M61" s="1"/>
      <x:c r="N61" s="1"/>
      <x:c r="O61" s="1"/>
      <x:c r="P61" s="1"/>
    </x:row>
    <x:row r="62" ht="16.5">
      <x:c r="A62"/>
      <x:c r="B62" s="11"/>
      <x:c r="C62" s="1"/>
      <x:c r="D62" s="19"/>
      <x:c r="E62" s="19"/>
      <x:c r="F62" s="19"/>
      <x:c r="G62" s="1"/>
      <x:c r="H62" s="1"/>
      <x:c r="I62" s="1"/>
      <x:c r="J62" s="1"/>
      <x:c r="K62" s="1"/>
      <x:c r="L62" s="1"/>
      <x:c r="M62" s="1"/>
      <x:c r="N62" s="1"/>
      <x:c r="O62" s="1"/>
      <x:c r="P62" s="1"/>
    </x:row>
    <x:row r="63" ht="16.5">
      <x:c r="A63"/>
      <x:c r="B63" s="11"/>
      <x:c r="C63" s="1"/>
      <x:c r="D63" s="19"/>
      <x:c r="E63" s="19"/>
      <x:c r="F63" s="19"/>
      <x:c r="G63" s="1"/>
      <x:c r="H63" s="1"/>
      <x:c r="I63" s="1"/>
      <x:c r="J63" s="1"/>
      <x:c r="K63" s="1"/>
      <x:c r="L63" s="1"/>
      <x:c r="M63" s="1"/>
      <x:c r="N63" s="1"/>
      <x:c r="O63" s="1"/>
      <x:c r="P63" s="1"/>
    </x:row>
    <x:row r="64" ht="16.5">
      <x:c r="A64"/>
      <x:c r="B64" s="11"/>
      <x:c r="C64" s="1"/>
      <x:c r="D64" s="19"/>
      <x:c r="E64" s="19"/>
      <x:c r="F64" s="19"/>
      <x:c r="G64" s="1"/>
      <x:c r="H64" s="1"/>
      <x:c r="I64" s="1"/>
      <x:c r="J64" s="1"/>
      <x:c r="K64" s="1"/>
      <x:c r="L64" s="1"/>
      <x:c r="M64" s="1"/>
      <x:c r="N64" s="1"/>
      <x:c r="O64" s="1"/>
      <x:c r="P64" s="1"/>
    </x:row>
    <x:row r="65" ht="16.5">
      <x:c r="A65"/>
      <x:c r="B65" s="11"/>
      <x:c r="C65" s="1"/>
      <x:c r="D65" s="19"/>
      <x:c r="E65" s="19"/>
      <x:c r="F65" s="19"/>
      <x:c r="G65" s="1"/>
      <x:c r="H65" s="1"/>
      <x:c r="I65" s="1"/>
      <x:c r="J65" s="1"/>
      <x:c r="K65" s="1"/>
      <x:c r="L65" s="1"/>
      <x:c r="M65" s="1"/>
      <x:c r="N65" s="1"/>
      <x:c r="O65" s="1"/>
      <x:c r="P65" s="1"/>
    </x:row>
    <x:row r="66" ht="16.5">
      <x:c r="A66"/>
      <x:c r="B66" s="11"/>
      <x:c r="C66" s="1"/>
      <x:c r="D66" s="19"/>
      <x:c r="E66" s="19"/>
      <x:c r="F66" s="19"/>
      <x:c r="G66" s="1"/>
      <x:c r="H66" s="1"/>
      <x:c r="I66" s="1"/>
      <x:c r="J66" s="1"/>
      <x:c r="K66" s="1"/>
      <x:c r="L66" s="1"/>
      <x:c r="M66" s="1"/>
      <x:c r="N66" s="1"/>
      <x:c r="O66" s="1"/>
      <x:c r="P66" s="1"/>
    </x:row>
    <x:row r="67" ht="16.5">
      <x:c r="A67"/>
      <x:c r="B67" s="11"/>
      <x:c r="C67" s="1"/>
      <x:c r="D67" s="19"/>
      <x:c r="E67" s="19"/>
      <x:c r="F67" s="19"/>
      <x:c r="G67" s="1"/>
      <x:c r="H67" s="1"/>
      <x:c r="I67" s="1"/>
      <x:c r="J67" s="1"/>
      <x:c r="K67" s="1"/>
      <x:c r="L67" s="1"/>
      <x:c r="M67" s="1"/>
      <x:c r="N67" s="1"/>
      <x:c r="O67" s="1"/>
      <x:c r="P67" s="1"/>
    </x:row>
    <x:row r="68" ht="16.5">
      <x:c r="A68"/>
      <x:c r="B68" s="11"/>
      <x:c r="C68" s="1"/>
      <x:c r="D68" s="19"/>
      <x:c r="E68" s="19"/>
      <x:c r="F68" s="19"/>
      <x:c r="G68" s="1"/>
      <x:c r="H68" s="1"/>
      <x:c r="I68" s="1"/>
      <x:c r="J68" s="1"/>
      <x:c r="K68" s="1"/>
      <x:c r="L68" s="1"/>
      <x:c r="M68" s="1"/>
      <x:c r="N68" s="1"/>
      <x:c r="O68" s="1"/>
      <x:c r="P68" s="1"/>
    </x:row>
    <x:row r="69" ht="16.5">
      <x:c r="A69"/>
      <x:c r="B69" s="11"/>
      <x:c r="C69" s="1"/>
      <x:c r="D69" s="19"/>
      <x:c r="E69" s="19"/>
      <x:c r="F69" s="19"/>
      <x:c r="G69" s="1"/>
      <x:c r="H69" s="1"/>
      <x:c r="I69" s="1"/>
      <x:c r="J69" s="1"/>
      <x:c r="K69" s="1"/>
      <x:c r="L69" s="1"/>
      <x:c r="M69" s="1"/>
      <x:c r="N69" s="1"/>
      <x:c r="O69" s="1"/>
      <x:c r="P69" s="1"/>
    </x:row>
    <x:row r="70" ht="16.5">
      <x:c r="A70"/>
      <x:c r="B70" s="11"/>
      <x:c r="C70" s="1"/>
      <x:c r="D70" s="19"/>
      <x:c r="E70" s="19"/>
      <x:c r="F70" s="19"/>
      <x:c r="G70" s="1"/>
      <x:c r="H70" s="1"/>
      <x:c r="I70" s="1"/>
      <x:c r="J70" s="1"/>
      <x:c r="K70" s="1"/>
      <x:c r="L70" s="1"/>
      <x:c r="M70" s="1"/>
      <x:c r="N70" s="1"/>
      <x:c r="O70" s="1"/>
      <x:c r="P70" s="1"/>
    </x:row>
    <x:row r="71" ht="16.5">
      <x:c r="A71"/>
      <x:c r="B71" s="11"/>
      <x:c r="C71" s="1"/>
      <x:c r="D71" s="19"/>
      <x:c r="E71" s="19"/>
      <x:c r="F71" s="19"/>
      <x:c r="G71" s="1"/>
      <x:c r="H71" s="1"/>
      <x:c r="I71" s="1"/>
      <x:c r="J71" s="1"/>
      <x:c r="K71" s="1"/>
      <x:c r="L71" s="1"/>
      <x:c r="M71" s="1"/>
      <x:c r="N71" s="1"/>
      <x:c r="O71" s="1"/>
      <x:c r="P71" s="1"/>
    </x:row>
    <x:row r="72" ht="16.5">
      <x:c r="A72"/>
      <x:c r="B72" s="11"/>
      <x:c r="C72" s="1"/>
      <x:c r="D72" s="19"/>
      <x:c r="E72" s="19"/>
      <x:c r="F72" s="19"/>
      <x:c r="G72" s="1"/>
      <x:c r="H72" s="1"/>
      <x:c r="I72" s="1"/>
      <x:c r="J72" s="1"/>
      <x:c r="K72" s="1"/>
      <x:c r="L72" s="1"/>
      <x:c r="M72" s="1"/>
      <x:c r="N72" s="1"/>
      <x:c r="O72" s="1"/>
      <x:c r="P72" s="1"/>
    </x:row>
    <x:row r="73" ht="16.5">
      <x:c r="A73"/>
      <x:c r="B73" s="11"/>
      <x:c r="C73" s="1"/>
      <x:c r="D73" s="19"/>
      <x:c r="E73" s="19"/>
      <x:c r="F73" s="19"/>
      <x:c r="G73" s="1"/>
      <x:c r="H73" s="1"/>
      <x:c r="I73" s="1"/>
      <x:c r="J73" s="1"/>
      <x:c r="K73" s="1"/>
      <x:c r="L73" s="1"/>
      <x:c r="M73" s="1"/>
      <x:c r="N73" s="1"/>
      <x:c r="O73" s="1"/>
      <x:c r="P73" s="1"/>
    </x:row>
    <x:row r="74" ht="16.5">
      <x:c r="A74"/>
      <x:c r="B74" s="11"/>
      <x:c r="C74" s="1"/>
      <x:c r="D74" s="19"/>
      <x:c r="E74" s="19"/>
      <x:c r="F74" s="19"/>
      <x:c r="G74" s="1"/>
      <x:c r="H74" s="1"/>
      <x:c r="I74" s="1"/>
      <x:c r="J74" s="1"/>
      <x:c r="K74" s="1"/>
      <x:c r="L74" s="1"/>
      <x:c r="M74" s="1"/>
      <x:c r="N74" s="1"/>
      <x:c r="O74" s="1"/>
      <x:c r="P74" s="1"/>
    </x:row>
    <x:row r="75" ht="16.5">
      <x:c r="A75"/>
      <x:c r="B75" s="11"/>
      <x:c r="C75" s="1"/>
      <x:c r="D75" s="19"/>
      <x:c r="E75" s="19"/>
      <x:c r="F75" s="19"/>
      <x:c r="G75" s="1"/>
      <x:c r="H75" s="1"/>
      <x:c r="I75" s="1"/>
      <x:c r="J75" s="1"/>
      <x:c r="K75" s="1"/>
      <x:c r="L75" s="1"/>
      <x:c r="M75" s="1"/>
      <x:c r="N75" s="1"/>
      <x:c r="O75" s="1"/>
      <x:c r="P75" s="1"/>
    </x:row>
    <x:row r="76" ht="16.5">
      <x:c r="A76"/>
      <x:c r="B76" s="11"/>
      <x:c r="C76" s="1"/>
      <x:c r="D76" s="19"/>
      <x:c r="E76" s="19"/>
      <x:c r="F76" s="19"/>
      <x:c r="G76" s="1"/>
      <x:c r="H76" s="1"/>
      <x:c r="I76" s="1"/>
      <x:c r="J76" s="1"/>
      <x:c r="K76" s="1"/>
      <x:c r="L76" s="1"/>
      <x:c r="M76" s="1"/>
      <x:c r="N76" s="1"/>
      <x:c r="O76" s="1"/>
      <x:c r="P76" s="1"/>
    </x:row>
    <x:row r="77" ht="16.5">
      <x:c r="A77"/>
      <x:c r="B77" s="11"/>
      <x:c r="C77" s="1"/>
      <x:c r="D77" s="19"/>
      <x:c r="E77" s="19"/>
      <x:c r="F77" s="19"/>
      <x:c r="G77" s="1"/>
      <x:c r="H77" s="1"/>
      <x:c r="I77" s="1"/>
      <x:c r="J77" s="1"/>
      <x:c r="K77" s="1"/>
      <x:c r="L77" s="1"/>
      <x:c r="M77" s="1"/>
      <x:c r="N77" s="1"/>
      <x:c r="O77" s="1"/>
      <x:c r="P77" s="1"/>
    </x:row>
  </x:sheetData>
  <x:mergeCells>
    <x:mergeCell ref="H5:J5"/>
  </x:mergeCells>
  <x:pageMargins left="0.7" right="0.7" top="0.75" bottom="0.75" header="0.3" footer="0.3"/>
  <x:drawing xmlns:r="http://schemas.openxmlformats.org/officeDocument/2006/relationships" r:id="Rb08b587c7e89438b"/>
</x:worksheet>
</file>

<file path=xl/worksheets/sheet35.xml><?xml version="1.0" encoding="utf-8"?>
<x:worksheet xmlns:x="http://schemas.openxmlformats.org/spreadsheetml/2006/main">
  <x:sheetPr>
    <x:tabColor rgb="FF00B0F0"/>
  </x:sheetPr>
  <x:sheetFormatPr defaultRowHeight="15"/>
  <x:cols>
    <x:col min="1" max="1" width="16.42578125" customWidth="1"/>
    <x:col min="2" max="2" width="15.140625" customWidth="1"/>
  </x:cols>
  <x:sheetData>
    <x:row r="1" ht="57" customHeight="1">
      <x:c r="A1" s="147" t="s">
        <x:v>34</x:v>
      </x:c>
      <x:c r="B1" s="151"/>
      <x:c r="C1" s="151"/>
      <x:c r="D1" s="151"/>
      <x:c r="E1" s="151"/>
      <x:c r="F1" s="151"/>
      <x:c r="G1" s="151"/>
      <x:c r="H1" s="151"/>
      <x:c r="I1" s="151"/>
      <x:c r="J1" s="151"/>
      <x:c r="K1" s="151"/>
      <x:c r="L1" s="151"/>
      <x:c r="M1" s="151"/>
      <x:c r="N1" s="151"/>
      <x:c r="O1" s="151"/>
      <x:c r="P1" s="151"/>
      <x:c r="Q1" s="151"/>
      <x:c r="R1" s="151"/>
      <x:c r="S1" s="151"/>
    </x:row>
    <x:row r="2" ht="42" customHeight="1">
      <x:c r="A2"/>
      <x:c r="B2"/>
      <x:c r="C2"/>
    </x:row>
    <x:row r="3" ht="22.5" customHeight="1">
      <x:c r="A3" s="144" t="s">
        <x:v>35</x:v>
      </x:c>
      <x:c r="B3" s="145"/>
      <x:c r="C3" s="146"/>
    </x:row>
    <x:row r="4" ht="17.25">
      <x:c r="A4" s="44"/>
      <x:c r="B4" s="45"/>
      <x:c r="C4" s="46"/>
    </x:row>
    <x:row r="5" ht="17.25">
      <x:c r="A5" s="71" t="s">
        <x:v>36</x:v>
      </x:c>
      <x:c r="B5" s="72" t="str">
        <x:f>IF('SHOP JANUARY 2027 (11)'!B40="","",'SHOP JANUARY 2027 (11)'!B40)</x:f>
      </x:c>
      <x:c r="C5" s="47" t="str">
        <x:f>IFERROR(B5/B7,"")</x:f>
      </x:c>
    </x:row>
    <x:row r="6" ht="18">
      <x:c r="A6" s="73" t="s">
        <x:v>37</x:v>
      </x:c>
      <x:c r="B6" s="74" t="str">
        <x:f>IF('THIRD PARTY JANUARY 2027 (11)'!B39="","",'THIRD PARTY JANUARY 2027 (11)'!B39)</x:f>
      </x:c>
      <x:c r="C6" s="47" t="str">
        <x:f>IFERROR(B6/B7,"")</x:f>
      </x:c>
    </x:row>
    <x:row r="7" ht="16.5">
      <x:c r="A7" s="43"/>
      <x:c r="B7" s="42" t="str">
        <x:f>IF(SUM(B5:B6)=0,"",SUM(B5:B6))</x:f>
      </x:c>
      <x:c r="C7" s="48" t="str">
        <x:f>IF(SUM(C5:C6)=0,"",SUM(C5:C6))</x:f>
      </x:c>
    </x:row>
  </x:sheetData>
  <x:mergeCells>
    <x:mergeCell ref="A3:C3"/>
    <x:mergeCell ref="A1:S1"/>
  </x:mergeCells>
  <x:pageMargins left="0.7" right="0.7" top="0.75" bottom="0.75" header="0.3" footer="0.3"/>
  <x:drawing xmlns:r="http://schemas.openxmlformats.org/officeDocument/2006/relationships" r:id="R1070a57889ab410f"/>
</x:worksheet>
</file>

<file path=xl/worksheets/sheet36.xml><?xml version="1.0" encoding="utf-8"?>
<x:worksheet xmlns:x="http://schemas.openxmlformats.org/spreadsheetml/2006/main">
  <x:sheetPr>
    <x:tabColor theme="9" tint="-0.24998"/>
  </x:sheetPr>
  <x:sheetFormatPr defaultRowHeight="15"/>
  <x:cols>
    <x:col min="1" max="1" width="23.28515625" style="14" customWidth="1"/>
    <x:col min="2" max="2" width="15.5703125" style="6" customWidth="1"/>
    <x:col min="3" max="3" width="19" customWidth="1"/>
    <x:col min="4" max="4" width="13.85546875" style="20" customWidth="1"/>
    <x:col min="5" max="5" width="20.5703125" style="20" customWidth="1"/>
    <x:col min="6" max="6" width="13.85546875" style="8" customWidth="1"/>
    <x:col min="7" max="7" width="13.85546875" style="9" customWidth="1"/>
    <x:col min="8" max="8" width="13.85546875" style="9" customWidth="1"/>
    <x:col min="9" max="9" width="17" customWidth="1"/>
    <x:col min="10" max="10" width="13.140625" customWidth="1"/>
    <x:col min="11" max="11" width="9.140625" customWidth="1"/>
  </x:cols>
  <x:sheetData>
    <x:row r="1">
      <x:c r="A1"/>
      <x:c r="B1"/>
      <x:c r="C1"/>
      <x:c r="D1"/>
      <x:c r="E1"/>
      <x:c r="F1"/>
      <x:c r="G1"/>
      <x:c r="H1"/>
      <x:c r="I1"/>
      <x:c r="J1"/>
      <x:c r="K1"/>
    </x:row>
    <x:row r="2" ht="18">
      <x:c r="A2" s="16" t="str">
        <x:v>DAILY SALES (6B)  - FEBRUARY 2027</x:v>
      </x:c>
      <x:c r="B2" s="16"/>
      <x:c r="C2" s="16"/>
      <x:c r="D2" s="18"/>
      <x:c r="E2" s="18"/>
      <x:c r="F2" s="16"/>
      <x:c r="G2" s="18"/>
      <x:c r="H2" s="18"/>
      <x:c r="I2" s="16"/>
      <x:c r="J2" s="16"/>
      <x:c r="K2" s="16"/>
      <x:c r="L2" s="16"/>
      <x:c r="M2" s="16"/>
      <x:c r="N2" s="16"/>
      <x:c r="O2" s="16"/>
      <x:c r="P2" s="16"/>
    </x:row>
    <x:row r="3" ht="18">
      <x:c r="A3"/>
      <x:c r="B3" s="24"/>
      <x:c r="C3" s="24"/>
      <x:c r="D3" s="18"/>
      <x:c r="E3" s="18"/>
      <x:c r="F3" s="24"/>
      <x:c r="G3" s="24"/>
      <x:c r="H3" s="24"/>
      <x:c r="I3" s="24"/>
      <x:c r="J3" s="24"/>
      <x:c r="K3" s="24"/>
      <x:c r="L3" s="24"/>
      <x:c r="M3" s="24"/>
      <x:c r="N3" s="24"/>
      <x:c r="O3" s="24"/>
      <x:c r="P3" s="24"/>
    </x:row>
    <x:row r="4" ht="16.5">
      <x:c r="A4"/>
      <x:c r="B4" s="11"/>
      <x:c r="C4" s="1"/>
      <x:c r="D4" s="19"/>
      <x:c r="E4" s="19"/>
      <x:c r="F4" s="12"/>
      <x:c r="G4" s="13"/>
      <x:c r="H4" s="13"/>
      <x:c r="I4" s="1"/>
      <x:c r="J4" s="1"/>
      <x:c r="K4" s="1"/>
      <x:c r="L4" s="1"/>
      <x:c r="M4" s="1"/>
      <x:c r="N4" s="1"/>
      <x:c r="O4" s="1"/>
      <x:c r="P4" s="1"/>
    </x:row>
    <x:row r="5" ht="16.5">
      <x:c r="A5" s="21" t="str">
        <x:v>Date</x:v>
      </x:c>
      <x:c r="B5" s="22" t="str">
        <x:v>Total Sales</x:v>
      </x:c>
      <x:c r="C5" s="106" t="str">
        <x:v>Footwear</x:v>
      </x:c>
      <x:c r="D5" s="139" t="str">
        <x:v>Deep Cleaning</x:v>
      </x:c>
      <x:c r="E5" s="140"/>
      <x:c r="F5" s="139" t="str">
        <x:v>Print &amp; Retail</x:v>
      </x:c>
      <x:c r="G5" s="141"/>
      <x:c r="H5" s="123"/>
      <x:c r="I5" s="135" t="str">
        <x:v>SALES</x:v>
      </x:c>
      <x:c r="J5" s="135"/>
      <x:c r="K5" s="135"/>
      <x:c r="L5" s="1"/>
      <x:c r="M5" s="1"/>
      <x:c r="N5" s="1"/>
      <x:c r="O5" s="1"/>
      <x:c r="P5" s="1"/>
    </x:row>
    <x:row r="6" ht="16.5">
      <x:c r="A6" s="21"/>
      <x:c r="B6" s="22"/>
      <x:c r="C6" s="23"/>
      <x:c r="D6" s="26" t="str">
        <x:v>Carpets </x:v>
      </x:c>
      <x:c r="E6" s="26" t="str">
        <x:v>Upholstery</x:v>
      </x:c>
      <x:c r="F6" s="26" t="str">
        <x:v>Print</x:v>
      </x:c>
      <x:c r="G6" s="26" t="str">
        <x:v>Retail</x:v>
      </x:c>
      <x:c r="H6" s="124"/>
      <x:c r="I6" s="17"/>
      <x:c r="J6" s="17"/>
      <x:c r="K6" s="17"/>
      <x:c r="L6" s="1"/>
      <x:c r="M6" s="1"/>
      <x:c r="N6" s="1"/>
      <x:c r="O6" s="1"/>
      <x:c r="P6" s="1"/>
    </x:row>
    <x:row r="7" ht="16.5">
      <x:c r="A7" s="15"/>
      <x:c r="B7" s="7"/>
      <x:c r="C7" s="5"/>
      <x:c r="D7" s="17"/>
      <x:c r="E7" s="17"/>
      <x:c r="F7" s="17"/>
      <x:c r="G7" s="17"/>
      <x:c r="H7" s="125"/>
      <x:c r="I7" s="17"/>
      <x:c r="J7" s="17"/>
      <x:c r="K7" s="17"/>
      <x:c r="L7" s="1"/>
      <x:c r="M7" s="1"/>
      <x:c r="N7" s="1"/>
      <x:c r="O7" s="1"/>
      <x:c r="P7" s="1"/>
    </x:row>
    <x:row r="8" ht="16.5">
      <x:c r="A8" s="171" t="n">
        <x:v>46419</x:v>
      </x:c>
      <x:c r="B8" s="52" t="str">
        <x:f>IF(SUM(C8:G8)=0,"",SUM(C8:G8))</x:f>
      </x:c>
      <x:c r="C8" s="53"/>
      <x:c r="D8" s="54"/>
      <x:c r="E8" s="54"/>
      <x:c r="F8" s="53" t="str">
        <x:f>IF('RETAIL &amp; PRINT'!Y11="","",'RETAIL &amp; PRINT'!Y11)</x:f>
      </x:c>
      <x:c r="G8" s="53" t="str">
        <x:f>IF(F8="","",F8*10%)</x:f>
      </x:c>
      <x:c r="H8" s="120"/>
      <x:c r="I8" s="3" t="str">
        <x:f>C5</x:f>
        <x:v>Footwear</x:v>
      </x:c>
      <x:c r="J8" s="10" t="str">
        <x:f>IF(C39="","",C39)</x:f>
      </x:c>
      <x:c r="K8" s="4" t="str">
        <x:f>IFERROR(C39/B40,"")</x:f>
      </x:c>
      <x:c r="L8" s="1"/>
      <x:c r="M8" s="1"/>
      <x:c r="N8" s="1"/>
      <x:c r="O8" s="1"/>
      <x:c r="P8" s="1"/>
    </x:row>
    <x:row r="9" ht="16.5">
      <x:c r="A9" s="171" t="n">
        <x:v>46420</x:v>
      </x:c>
      <x:c r="B9" s="52" t="str">
        <x:f t="shared" ref="B9:B35" si="0">IF(SUM(C9:G9)=0,"",SUM(C9:G9))</x:f>
      </x:c>
      <x:c r="C9" s="53"/>
      <x:c r="D9" s="54"/>
      <x:c r="E9" s="54"/>
      <x:c r="F9" s="53" t="str">
        <x:f>IF('RETAIL &amp; PRINT'!Y12="","",'RETAIL &amp; PRINT'!Y12)</x:f>
      </x:c>
      <x:c r="G9" s="53" t="str">
        <x:f t="shared" ref="G9:G35" si="1">IF(F9="","",F9*10%)</x:f>
      </x:c>
      <x:c r="H9" s="120"/>
      <x:c r="I9" s="3" t="str">
        <x:f>D5</x:f>
        <x:v>Deep Cleaning</x:v>
      </x:c>
      <x:c r="J9" s="10" t="str">
        <x:f>IF(D40="","",D40)</x:f>
      </x:c>
      <x:c r="K9" s="4" t="str">
        <x:f>IFERROR(D40/$B$40,"")</x:f>
      </x:c>
      <x:c r="L9" s="1"/>
      <x:c r="M9" s="1"/>
      <x:c r="N9" s="1"/>
      <x:c r="O9" s="1"/>
      <x:c r="P9" s="1"/>
    </x:row>
    <x:row r="10" ht="16.5">
      <x:c r="A10" s="171" t="n">
        <x:v>46421</x:v>
      </x:c>
      <x:c r="B10" s="52" t="str">
        <x:f t="shared" si="0">IF(SUM(C10:G10)=0,"",SUM(C10:G10))</x:f>
      </x:c>
      <x:c r="C10" s="53"/>
      <x:c r="D10" s="54"/>
      <x:c r="E10" s="54"/>
      <x:c r="F10" s="53" t="str">
        <x:f>IF('RETAIL &amp; PRINT'!Y13="","",'RETAIL &amp; PRINT'!Y13)</x:f>
      </x:c>
      <x:c r="G10" s="53" t="str">
        <x:f t="shared" si="1">IF(F10="","",F10*10%)</x:f>
      </x:c>
      <x:c r="H10" s="120"/>
      <x:c r="I10" s="3" t="str">
        <x:f>F5</x:f>
        <x:v>Print &amp; Retail</x:v>
      </x:c>
      <x:c r="J10" s="10" t="str">
        <x:f>IF(F40="","",F40)</x:f>
      </x:c>
      <x:c r="K10" s="4" t="str">
        <x:f>IFERROR(SUM(F39:G39)/B40,"")</x:f>
      </x:c>
      <x:c r="L10" s="1"/>
      <x:c r="M10" s="1"/>
      <x:c r="N10" s="1"/>
      <x:c r="O10" s="1"/>
      <x:c r="P10" s="1"/>
    </x:row>
    <x:row r="11" ht="16.5">
      <x:c r="A11" s="171" t="n">
        <x:v>46422</x:v>
      </x:c>
      <x:c r="B11" s="52" t="str">
        <x:f t="shared" si="0">IF(SUM(C11:G11)=0,"",SUM(C11:G11))</x:f>
      </x:c>
      <x:c r="C11" s="53"/>
      <x:c r="D11" s="54"/>
      <x:c r="E11" s="54"/>
      <x:c r="F11" s="53" t="str">
        <x:f>IF('RETAIL &amp; PRINT'!Y14="","",'RETAIL &amp; PRINT'!Y14)</x:f>
      </x:c>
      <x:c r="G11" s="53" t="str">
        <x:f t="shared" si="1">IF(F11="","",F11*10%)</x:f>
      </x:c>
      <x:c r="H11" s="120"/>
      <x:c r="I11" s="3"/>
      <x:c r="J11" s="10"/>
      <x:c r="K11" s="4"/>
      <x:c r="L11" s="1"/>
      <x:c r="M11" s="1"/>
      <x:c r="N11" s="1"/>
      <x:c r="O11" s="1"/>
      <x:c r="P11" s="1"/>
    </x:row>
    <x:row r="12" ht="16.5">
      <x:c r="A12" s="171" t="n">
        <x:v>46423</x:v>
      </x:c>
      <x:c r="B12" s="52" t="str">
        <x:f t="shared" si="0">IF(SUM(C12:G12)=0,"",SUM(C12:G12))</x:f>
      </x:c>
      <x:c r="C12" s="53"/>
      <x:c r="D12" s="54"/>
      <x:c r="E12" s="54"/>
      <x:c r="F12" s="53" t="str">
        <x:f>IF('RETAIL &amp; PRINT'!Y15="","",'RETAIL &amp; PRINT'!Y15)</x:f>
      </x:c>
      <x:c r="G12" s="53" t="str">
        <x:f t="shared" si="1">IF(F12="","",F12*10%)</x:f>
      </x:c>
      <x:c r="H12" s="120"/>
      <x:c r="I12" s="3"/>
      <x:c r="J12" s="10" t="str">
        <x:f>IF(SUM(J8:J11)=0,"",SUM(J8:J11))</x:f>
      </x:c>
      <x:c r="K12" s="4" t="str">
        <x:f>IF(SUM(K8:K11)=0,"",SUM(K8:K11))</x:f>
      </x:c>
      <x:c r="L12" s="1"/>
      <x:c r="M12" s="1"/>
      <x:c r="N12" s="1"/>
      <x:c r="O12" s="1"/>
      <x:c r="P12" s="1"/>
    </x:row>
    <x:row r="13" ht="16.5">
      <x:c r="A13" s="171" t="n">
        <x:v>46424</x:v>
      </x:c>
      <x:c r="B13" s="52" t="str">
        <x:f t="shared" si="0">IF(SUM(C13:G13)=0,"",SUM(C13:G13))</x:f>
      </x:c>
      <x:c r="C13" s="53"/>
      <x:c r="D13" s="54"/>
      <x:c r="E13" s="54"/>
      <x:c r="F13" s="53" t="str">
        <x:f>IF('RETAIL &amp; PRINT'!Y16="","",'RETAIL &amp; PRINT'!Y16)</x:f>
      </x:c>
      <x:c r="G13" s="53" t="str">
        <x:f t="shared" si="1">IF(F13="","",F13*10%)</x:f>
      </x:c>
      <x:c r="H13" s="120"/>
      <x:c r="I13" s="1"/>
      <x:c r="J13" s="1"/>
      <x:c r="K13" s="1"/>
      <x:c r="L13" s="1"/>
      <x:c r="M13" s="1"/>
      <x:c r="N13" s="1"/>
      <x:c r="O13" s="1"/>
      <x:c r="P13" s="1"/>
    </x:row>
    <x:row r="14" ht="16.5">
      <x:c r="A14" s="171" t="n">
        <x:v>46425</x:v>
      </x:c>
      <x:c r="B14" s="52" t="str">
        <x:f t="shared" si="0">IF(SUM(C14:G14)=0,"",SUM(C14:G14))</x:f>
      </x:c>
      <x:c r="C14" s="53"/>
      <x:c r="D14" s="54"/>
      <x:c r="E14" s="54"/>
      <x:c r="F14" s="53" t="str">
        <x:f>IF('RETAIL &amp; PRINT'!Y17="","",'RETAIL &amp; PRINT'!Y17)</x:f>
      </x:c>
      <x:c r="G14" s="53" t="str">
        <x:f t="shared" si="1">IF(F14="","",F14*10%)</x:f>
      </x:c>
      <x:c r="H14" s="120"/>
      <x:c r="I14" s="1"/>
      <x:c r="J14" s="27"/>
      <x:c r="K14" s="28"/>
      <x:c r="L14" s="1"/>
      <x:c r="M14" s="1"/>
      <x:c r="N14" s="1"/>
      <x:c r="O14" s="1"/>
      <x:c r="P14" s="1"/>
    </x:row>
    <x:row r="15" ht="16.5">
      <x:c r="A15" s="171" t="n">
        <x:v>46426</x:v>
      </x:c>
      <x:c r="B15" s="52" t="str">
        <x:f t="shared" si="0">IF(SUM(C15:G15)=0,"",SUM(C15:G15))</x:f>
      </x:c>
      <x:c r="C15" s="53"/>
      <x:c r="D15" s="54"/>
      <x:c r="E15" s="54"/>
      <x:c r="F15" s="53" t="str">
        <x:f>IF('RETAIL &amp; PRINT'!Y18="","",'RETAIL &amp; PRINT'!Y18)</x:f>
      </x:c>
      <x:c r="G15" s="53" t="str">
        <x:f t="shared" si="1">IF(F15="","",F15*10%)</x:f>
      </x:c>
      <x:c r="H15" s="120"/>
      <x:c r="I15" s="1"/>
      <x:c r="J15" s="1"/>
      <x:c r="K15" s="1"/>
      <x:c r="L15" s="1"/>
      <x:c r="M15" s="1"/>
      <x:c r="N15" s="1"/>
      <x:c r="O15" s="1"/>
      <x:c r="P15" s="1"/>
    </x:row>
    <x:row r="16" ht="16.5">
      <x:c r="A16" s="171" t="n">
        <x:v>46427</x:v>
      </x:c>
      <x:c r="B16" s="52" t="str">
        <x:f t="shared" si="0">IF(SUM(C16:G16)=0,"",SUM(C16:G16))</x:f>
      </x:c>
      <x:c r="C16" s="53"/>
      <x:c r="D16" s="54"/>
      <x:c r="E16" s="54"/>
      <x:c r="F16" s="53" t="str">
        <x:f>IF('RETAIL &amp; PRINT'!Y19="","",'RETAIL &amp; PRINT'!Y19)</x:f>
      </x:c>
      <x:c r="G16" s="53" t="str">
        <x:f t="shared" si="1">IF(F16="","",F16*10%)</x:f>
      </x:c>
      <x:c r="H16" s="120"/>
      <x:c r="I16" s="1"/>
      <x:c r="J16" s="1"/>
      <x:c r="K16" s="1"/>
      <x:c r="L16" s="1"/>
      <x:c r="M16" s="1"/>
      <x:c r="N16" s="1"/>
      <x:c r="O16" s="1"/>
      <x:c r="P16" s="1"/>
    </x:row>
    <x:row r="17" ht="16.5">
      <x:c r="A17" s="171" t="n">
        <x:v>46428</x:v>
      </x:c>
      <x:c r="B17" s="52" t="str">
        <x:f t="shared" si="0">IF(SUM(C17:G17)=0,"",SUM(C17:G17))</x:f>
      </x:c>
      <x:c r="C17" s="53"/>
      <x:c r="D17" s="54"/>
      <x:c r="E17" s="54"/>
      <x:c r="F17" s="53" t="str">
        <x:f>IF('RETAIL &amp; PRINT'!Y20="","",'RETAIL &amp; PRINT'!Y20)</x:f>
      </x:c>
      <x:c r="G17" s="53" t="str">
        <x:f t="shared" si="1">IF(F17="","",F17*10%)</x:f>
      </x:c>
      <x:c r="H17" s="120"/>
      <x:c r="I17" s="1"/>
      <x:c r="J17" s="1"/>
      <x:c r="K17" s="1"/>
      <x:c r="L17" s="1"/>
      <x:c r="M17" s="1"/>
      <x:c r="N17" s="1"/>
      <x:c r="O17" s="1"/>
      <x:c r="P17" s="1"/>
    </x:row>
    <x:row r="18" ht="16.5">
      <x:c r="A18" s="171" t="n">
        <x:v>46429</x:v>
      </x:c>
      <x:c r="B18" s="52" t="str">
        <x:f t="shared" si="0">IF(SUM(C18:G18)=0,"",SUM(C18:G18))</x:f>
      </x:c>
      <x:c r="C18" s="53"/>
      <x:c r="D18" s="54"/>
      <x:c r="E18" s="54"/>
      <x:c r="F18" s="53" t="str">
        <x:f>IF('RETAIL &amp; PRINT'!Y21="","",'RETAIL &amp; PRINT'!Y21)</x:f>
      </x:c>
      <x:c r="G18" s="53" t="str">
        <x:f t="shared" si="1">IF(F18="","",F18*10%)</x:f>
      </x:c>
      <x:c r="H18" s="120"/>
      <x:c r="I18" s="1"/>
      <x:c r="J18" s="1"/>
      <x:c r="K18" s="1"/>
      <x:c r="L18" s="1"/>
      <x:c r="M18" s="1"/>
      <x:c r="N18" s="1"/>
      <x:c r="O18" s="1"/>
      <x:c r="P18" s="1"/>
    </x:row>
    <x:row r="19" ht="16.5">
      <x:c r="A19" s="171" t="n">
        <x:v>46430</x:v>
      </x:c>
      <x:c r="B19" s="52" t="str">
        <x:f t="shared" si="0">IF(SUM(C19:G19)=0,"",SUM(C19:G19))</x:f>
      </x:c>
      <x:c r="C19" s="53"/>
      <x:c r="D19" s="54"/>
      <x:c r="E19" s="54"/>
      <x:c r="F19" s="53" t="str">
        <x:f>IF('RETAIL &amp; PRINT'!Y22="","",'RETAIL &amp; PRINT'!Y22)</x:f>
      </x:c>
      <x:c r="G19" s="53" t="str">
        <x:f t="shared" si="1">IF(F19="","",F19*10%)</x:f>
      </x:c>
      <x:c r="H19" s="120"/>
      <x:c r="I19" s="1"/>
      <x:c r="J19" s="1"/>
      <x:c r="K19" s="1"/>
      <x:c r="L19" s="1"/>
      <x:c r="M19" s="1"/>
      <x:c r="N19" s="1"/>
      <x:c r="O19" s="1"/>
      <x:c r="P19" s="1"/>
    </x:row>
    <x:row r="20" ht="16.5">
      <x:c r="A20" s="171" t="n">
        <x:v>46431</x:v>
      </x:c>
      <x:c r="B20" s="52" t="str">
        <x:f t="shared" si="0">IF(SUM(C20:G20)=0,"",SUM(C20:G20))</x:f>
      </x:c>
      <x:c r="C20" s="53"/>
      <x:c r="D20" s="54"/>
      <x:c r="E20" s="54"/>
      <x:c r="F20" s="53" t="str">
        <x:f>IF('RETAIL &amp; PRINT'!Y23="","",'RETAIL &amp; PRINT'!Y23)</x:f>
      </x:c>
      <x:c r="G20" s="53" t="str">
        <x:f t="shared" si="1">IF(F20="","",F20*10%)</x:f>
      </x:c>
      <x:c r="H20" s="120"/>
      <x:c r="I20" s="1"/>
      <x:c r="J20" s="1"/>
      <x:c r="K20" s="1"/>
      <x:c r="L20" s="1"/>
      <x:c r="M20" s="1"/>
      <x:c r="N20" s="1"/>
      <x:c r="O20" s="1"/>
      <x:c r="P20" s="1"/>
    </x:row>
    <x:row r="21" ht="16.5">
      <x:c r="A21" s="171" t="n">
        <x:v>46432</x:v>
      </x:c>
      <x:c r="B21" s="52" t="str">
        <x:f t="shared" si="0">IF(SUM(C21:G21)=0,"",SUM(C21:G21))</x:f>
      </x:c>
      <x:c r="C21" s="53"/>
      <x:c r="D21" s="54"/>
      <x:c r="E21" s="54"/>
      <x:c r="F21" s="53" t="str">
        <x:f>IF('RETAIL &amp; PRINT'!Y24="","",'RETAIL &amp; PRINT'!Y24)</x:f>
      </x:c>
      <x:c r="G21" s="53" t="str">
        <x:f t="shared" si="1">IF(F21="","",F21*10%)</x:f>
      </x:c>
      <x:c r="H21" s="120"/>
      <x:c r="I21" s="1"/>
      <x:c r="J21" s="1"/>
      <x:c r="K21" s="1"/>
      <x:c r="L21" s="1"/>
      <x:c r="M21" s="1"/>
      <x:c r="N21" s="1"/>
      <x:c r="O21" s="1"/>
      <x:c r="P21" s="1"/>
    </x:row>
    <x:row r="22" ht="16.5">
      <x:c r="A22" s="171" t="n">
        <x:v>46433</x:v>
      </x:c>
      <x:c r="B22" s="52" t="str">
        <x:f t="shared" si="0">IF(SUM(C22:G22)=0,"",SUM(C22:G22))</x:f>
      </x:c>
      <x:c r="C22" s="53"/>
      <x:c r="D22" s="54"/>
      <x:c r="E22" s="54"/>
      <x:c r="F22" s="53" t="str">
        <x:f>IF('RETAIL &amp; PRINT'!Y25="","",'RETAIL &amp; PRINT'!Y25)</x:f>
      </x:c>
      <x:c r="G22" s="53" t="str">
        <x:f t="shared" si="1">IF(F22="","",F22*10%)</x:f>
      </x:c>
      <x:c r="H22" s="120"/>
      <x:c r="I22" s="1"/>
      <x:c r="J22" s="1"/>
      <x:c r="K22" s="1"/>
      <x:c r="L22" s="1"/>
      <x:c r="M22" s="1"/>
      <x:c r="N22" s="1"/>
      <x:c r="O22" s="1"/>
      <x:c r="P22" s="1"/>
    </x:row>
    <x:row r="23" ht="16.5">
      <x:c r="A23" s="171" t="n">
        <x:v>46434</x:v>
      </x:c>
      <x:c r="B23" s="52" t="str">
        <x:f t="shared" si="0">IF(SUM(C23:G23)=0,"",SUM(C23:G23))</x:f>
      </x:c>
      <x:c r="C23" s="53"/>
      <x:c r="D23" s="54"/>
      <x:c r="E23" s="54"/>
      <x:c r="F23" s="53" t="str">
        <x:f>IF('RETAIL &amp; PRINT'!Y26="","",'RETAIL &amp; PRINT'!Y26)</x:f>
      </x:c>
      <x:c r="G23" s="53" t="str">
        <x:f t="shared" si="1">IF(F23="","",F23*10%)</x:f>
      </x:c>
      <x:c r="H23" s="120"/>
      <x:c r="I23" s="1"/>
      <x:c r="J23" s="1"/>
      <x:c r="K23" s="1"/>
      <x:c r="L23" s="1"/>
      <x:c r="M23" s="1"/>
      <x:c r="N23" s="1"/>
      <x:c r="O23" s="1"/>
      <x:c r="P23" s="1"/>
    </x:row>
    <x:row r="24" ht="16.5">
      <x:c r="A24" s="171" t="n">
        <x:v>46435</x:v>
      </x:c>
      <x:c r="B24" s="52" t="str">
        <x:f t="shared" si="0">IF(SUM(C24:G24)=0,"",SUM(C24:G24))</x:f>
      </x:c>
      <x:c r="C24" s="53"/>
      <x:c r="D24" s="54"/>
      <x:c r="E24" s="54"/>
      <x:c r="F24" s="53" t="str">
        <x:f>IF('RETAIL &amp; PRINT'!Y27="","",'RETAIL &amp; PRINT'!Y27)</x:f>
      </x:c>
      <x:c r="G24" s="53" t="str">
        <x:f t="shared" si="1">IF(F24="","",F24*10%)</x:f>
      </x:c>
      <x:c r="H24" s="120"/>
      <x:c r="I24" s="1"/>
      <x:c r="J24" s="1"/>
      <x:c r="K24" s="1"/>
      <x:c r="L24" s="1"/>
      <x:c r="M24" s="1"/>
      <x:c r="N24" s="1"/>
      <x:c r="O24" s="1"/>
      <x:c r="P24" s="1"/>
    </x:row>
    <x:row r="25" ht="16.5">
      <x:c r="A25" s="171" t="n">
        <x:v>46436</x:v>
      </x:c>
      <x:c r="B25" s="52" t="str">
        <x:f t="shared" si="0">IF(SUM(C25:G25)=0,"",SUM(C25:G25))</x:f>
      </x:c>
      <x:c r="C25" s="53"/>
      <x:c r="D25" s="54"/>
      <x:c r="E25" s="54"/>
      <x:c r="F25" s="53" t="str">
        <x:f>IF('RETAIL &amp; PRINT'!Y28="","",'RETAIL &amp; PRINT'!Y28)</x:f>
      </x:c>
      <x:c r="G25" s="53" t="str">
        <x:f t="shared" si="1">IF(F25="","",F25*10%)</x:f>
      </x:c>
      <x:c r="H25" s="120"/>
      <x:c r="I25" s="34"/>
      <x:c r="J25" s="34"/>
      <x:c r="K25" s="34"/>
      <x:c r="L25" s="1"/>
      <x:c r="M25" s="1"/>
      <x:c r="N25" s="1"/>
      <x:c r="O25" s="1"/>
      <x:c r="P25" s="1"/>
    </x:row>
    <x:row r="26" ht="16.5">
      <x:c r="A26" s="171" t="n">
        <x:v>46437</x:v>
      </x:c>
      <x:c r="B26" s="52" t="str">
        <x:f t="shared" si="0">IF(SUM(C26:G26)=0,"",SUM(C26:G26))</x:f>
      </x:c>
      <x:c r="C26" s="53"/>
      <x:c r="D26" s="54"/>
      <x:c r="E26" s="54"/>
      <x:c r="F26" s="53" t="str">
        <x:f>IF('RETAIL &amp; PRINT'!Y29="","",'RETAIL &amp; PRINT'!Y29)</x:f>
      </x:c>
      <x:c r="G26" s="53" t="str">
        <x:f t="shared" si="1">IF(F26="","",F26*10%)</x:f>
      </x:c>
      <x:c r="H26" s="120"/>
      <x:c r="I26" s="33"/>
      <x:c r="J26" s="33"/>
      <x:c r="K26" s="33"/>
      <x:c r="L26" s="1"/>
      <x:c r="M26" s="1"/>
      <x:c r="N26" s="1"/>
      <x:c r="O26" s="1"/>
      <x:c r="P26" s="1"/>
    </x:row>
    <x:row r="27" ht="16.5">
      <x:c r="A27" s="171" t="n">
        <x:v>46438</x:v>
      </x:c>
      <x:c r="B27" s="52" t="str">
        <x:f t="shared" si="0">IF(SUM(C27:G27)=0,"",SUM(C27:G27))</x:f>
      </x:c>
      <x:c r="C27" s="53"/>
      <x:c r="D27" s="54"/>
      <x:c r="E27" s="54"/>
      <x:c r="F27" s="53" t="str">
        <x:f>IF('RETAIL &amp; PRINT'!Y30="","",'RETAIL &amp; PRINT'!Y30)</x:f>
      </x:c>
      <x:c r="G27" s="53" t="str">
        <x:f t="shared" si="1">IF(F27="","",F27*10%)</x:f>
      </x:c>
      <x:c r="H27" s="120"/>
      <x:c r="I27" s="34"/>
      <x:c r="J27" s="35"/>
      <x:c r="K27" s="36"/>
      <x:c r="L27" s="1"/>
      <x:c r="M27" s="1"/>
      <x:c r="N27" s="1"/>
      <x:c r="O27" s="1"/>
      <x:c r="P27" s="1"/>
    </x:row>
    <x:row r="28" ht="16.5">
      <x:c r="A28" s="171" t="n">
        <x:v>46439</x:v>
      </x:c>
      <x:c r="B28" s="52" t="str">
        <x:f t="shared" si="0">IF(SUM(C28:G28)=0,"",SUM(C28:G28))</x:f>
      </x:c>
      <x:c r="C28" s="53"/>
      <x:c r="D28" s="54"/>
      <x:c r="E28" s="54"/>
      <x:c r="F28" s="53" t="str">
        <x:f>IF('RETAIL &amp; PRINT'!Y31="","",'RETAIL &amp; PRINT'!Y31)</x:f>
      </x:c>
      <x:c r="G28" s="53" t="str">
        <x:f t="shared" si="1">IF(F28="","",F28*10%)</x:f>
      </x:c>
      <x:c r="H28" s="120"/>
      <x:c r="I28" s="34"/>
      <x:c r="J28" s="37"/>
      <x:c r="K28" s="36"/>
      <x:c r="L28" s="1"/>
      <x:c r="M28" s="1"/>
      <x:c r="N28" s="1"/>
      <x:c r="O28" s="1"/>
      <x:c r="P28" s="1"/>
    </x:row>
    <x:row r="29" ht="16.5">
      <x:c r="A29" s="171" t="n">
        <x:v>46440</x:v>
      </x:c>
      <x:c r="B29" s="52" t="str">
        <x:f t="shared" si="0">IF(SUM(C29:G29)=0,"",SUM(C29:G29))</x:f>
      </x:c>
      <x:c r="C29" s="53"/>
      <x:c r="D29" s="56"/>
      <x:c r="E29" s="56"/>
      <x:c r="F29" s="53" t="str">
        <x:f>IF('RETAIL &amp; PRINT'!Y32="","",'RETAIL &amp; PRINT'!Y32)</x:f>
      </x:c>
      <x:c r="G29" s="53" t="str">
        <x:f t="shared" si="1">IF(F29="","",F29*10%)</x:f>
      </x:c>
      <x:c r="H29" s="120"/>
      <x:c r="I29" s="1"/>
      <x:c r="J29" s="29"/>
      <x:c r="K29" s="30"/>
      <x:c r="L29" s="1"/>
      <x:c r="M29" s="1"/>
      <x:c r="N29" s="1"/>
      <x:c r="O29" s="1"/>
      <x:c r="P29" s="1"/>
    </x:row>
    <x:row r="30" ht="16.5">
      <x:c r="A30" s="171" t="n">
        <x:v>46441</x:v>
      </x:c>
      <x:c r="B30" s="52" t="str">
        <x:f t="shared" si="0">IF(SUM(C30:G30)=0,"",SUM(C30:G30))</x:f>
      </x:c>
      <x:c r="C30" s="53"/>
      <x:c r="D30" s="54"/>
      <x:c r="E30" s="54"/>
      <x:c r="F30" s="53" t="str">
        <x:f>IF('RETAIL &amp; PRINT'!Y33="","",'RETAIL &amp; PRINT'!Y33)</x:f>
      </x:c>
      <x:c r="G30" s="53" t="str">
        <x:f t="shared" si="1">IF(F30="","",F30*10%)</x:f>
      </x:c>
      <x:c r="H30" s="120"/>
      <x:c r="I30" s="1"/>
      <x:c r="J30" s="31"/>
      <x:c r="K30" s="30"/>
      <x:c r="L30" s="1"/>
      <x:c r="M30" s="1"/>
      <x:c r="N30" s="1"/>
      <x:c r="O30" s="1"/>
      <x:c r="P30" s="1"/>
    </x:row>
    <x:row r="31" ht="16.5">
      <x:c r="A31" s="171" t="n">
        <x:v>46442</x:v>
      </x:c>
      <x:c r="B31" s="52" t="str">
        <x:f t="shared" si="0">IF(SUM(C31:G31)=0,"",SUM(C31:G31))</x:f>
      </x:c>
      <x:c r="C31" s="53"/>
      <x:c r="D31" s="54"/>
      <x:c r="E31" s="54"/>
      <x:c r="F31" s="53" t="str">
        <x:f>IF('RETAIL &amp; PRINT'!Y34="","",'RETAIL &amp; PRINT'!Y34)</x:f>
      </x:c>
      <x:c r="G31" s="53" t="str">
        <x:f t="shared" si="1">IF(F31="","",F31*10%)</x:f>
      </x:c>
      <x:c r="H31" s="120"/>
      <x:c r="I31" s="1"/>
      <x:c r="J31" s="29"/>
      <x:c r="K31" s="30"/>
      <x:c r="L31" s="1"/>
      <x:c r="M31" s="1"/>
      <x:c r="N31" s="1"/>
      <x:c r="O31" s="1"/>
      <x:c r="P31" s="1"/>
    </x:row>
    <x:row r="32" ht="16.5">
      <x:c r="A32" s="171" t="n">
        <x:v>46443</x:v>
      </x:c>
      <x:c r="B32" s="52" t="str">
        <x:f t="shared" si="0">IF(SUM(C32:G32)=0,"",SUM(C32:G32))</x:f>
      </x:c>
      <x:c r="C32" s="53"/>
      <x:c r="D32" s="54"/>
      <x:c r="E32" s="54"/>
      <x:c r="F32" s="53" t="str">
        <x:f>IF('RETAIL &amp; PRINT'!Y35="","",'RETAIL &amp; PRINT'!Y35)</x:f>
      </x:c>
      <x:c r="G32" s="53" t="str">
        <x:f t="shared" si="1">IF(F32="","",F32*10%)</x:f>
      </x:c>
      <x:c r="H32" s="120"/>
      <x:c r="I32" s="1"/>
      <x:c r="J32" s="31"/>
      <x:c r="K32" s="30"/>
      <x:c r="L32" s="1"/>
      <x:c r="M32" s="1"/>
      <x:c r="N32" s="1"/>
      <x:c r="O32" s="1"/>
      <x:c r="P32" s="1"/>
    </x:row>
    <x:row r="33" ht="16.5">
      <x:c r="A33" s="171" t="n">
        <x:v>46444</x:v>
      </x:c>
      <x:c r="B33" s="52" t="str">
        <x:f t="shared" si="0">IF(SUM(C33:G33)=0,"",SUM(C33:G33))</x:f>
      </x:c>
      <x:c r="C33" s="53"/>
      <x:c r="D33" s="54"/>
      <x:c r="E33" s="54"/>
      <x:c r="F33" s="53" t="str">
        <x:f>IF('RETAIL &amp; PRINT'!Y36="","",'RETAIL &amp; PRINT'!Y36)</x:f>
      </x:c>
      <x:c r="G33" s="53" t="str">
        <x:f t="shared" si="1">IF(F33="","",F33*10%)</x:f>
      </x:c>
      <x:c r="H33" s="120"/>
      <x:c r="I33" s="1"/>
      <x:c r="J33" s="32"/>
      <x:c r="K33" s="30"/>
      <x:c r="L33" s="1"/>
      <x:c r="M33" s="1"/>
      <x:c r="N33" s="1"/>
      <x:c r="O33" s="1"/>
      <x:c r="P33" s="1"/>
    </x:row>
    <x:row r="34" ht="16.5">
      <x:c r="A34" s="171" t="n">
        <x:v>46445</x:v>
      </x:c>
      <x:c r="B34" s="52" t="str">
        <x:f t="shared" si="0">IF(SUM(C34:G34)=0,"",SUM(C34:G34))</x:f>
      </x:c>
      <x:c r="C34" s="53"/>
      <x:c r="D34" s="54"/>
      <x:c r="E34" s="54"/>
      <x:c r="F34" s="53" t="str">
        <x:f>IF('RETAIL &amp; PRINT'!Y37="","",'RETAIL &amp; PRINT'!Y37)</x:f>
      </x:c>
      <x:c r="G34" s="53" t="str">
        <x:f t="shared" si="1">IF(F34="","",F34*10%)</x:f>
      </x:c>
      <x:c r="H34" s="120"/>
      <x:c r="I34" s="1"/>
      <x:c r="J34" s="1"/>
      <x:c r="K34" s="1"/>
      <x:c r="L34" s="1"/>
      <x:c r="M34" s="1"/>
      <x:c r="N34" s="1"/>
      <x:c r="O34" s="1"/>
      <x:c r="P34" s="1"/>
    </x:row>
    <x:row r="35" ht="16.5">
      <x:c r="A35" s="171" t="n">
        <x:v>46446</x:v>
      </x:c>
      <x:c r="B35" s="52" t="str">
        <x:f t="shared" si="0">IF(SUM(C35:G35)=0,"",SUM(C35:G35))</x:f>
      </x:c>
      <x:c r="C35" s="53"/>
      <x:c r="D35" s="54"/>
      <x:c r="E35" s="54"/>
      <x:c r="F35" s="53" t="str">
        <x:f>IF('RETAIL &amp; PRINT'!Y38="","",'RETAIL &amp; PRINT'!Y38)</x:f>
      </x:c>
      <x:c r="G35" s="53" t="str">
        <x:f t="shared" si="1">IF(F35="","",F35*10%)</x:f>
      </x:c>
      <x:c r="H35" s="120"/>
      <x:c r="I35" s="1"/>
      <x:c r="J35" s="1"/>
      <x:c r="K35" s="1"/>
      <x:c r="L35" s="1"/>
      <x:c r="M35" s="1"/>
      <x:c r="N35" s="1"/>
      <x:c r="O35" s="1"/>
      <x:c r="P35" s="1"/>
    </x:row>
    <x:row r="36" ht="16.5">
      <x:c r="A36" s="171"/>
      <x:c r="B36" s="52" t="str">
        <x:f>IF(SUM(C36:G36)=0,"",SUM(C36:G36))</x:f>
      </x:c>
      <x:c r="C36" s="53"/>
      <x:c r="D36" s="54"/>
      <x:c r="E36" s="54"/>
      <x:c r="F36" s="53" t="str">
        <x:f>IF('RETAIL &amp; PRINT'!Y39="","",'RETAIL &amp; PRINT'!Y39)</x:f>
      </x:c>
      <x:c r="G36" s="53" t="str">
        <x:f>IF(F36="","",F36*10%)</x:f>
      </x:c>
      <x:c r="H36" s="120"/>
      <x:c r="I36" s="1"/>
      <x:c r="J36" s="1"/>
      <x:c r="K36" s="1"/>
      <x:c r="L36" s="1"/>
      <x:c r="M36" s="1"/>
      <x:c r="N36" s="1"/>
      <x:c r="O36" s="1"/>
      <x:c r="P36" s="1"/>
    </x:row>
    <x:row r="37" ht="16.5">
      <x:c r="A37" s="171"/>
      <x:c r="B37" s="52" t="str">
        <x:f>IF(SUM(C37:G37)=0,"",SUM(C37:G37))</x:f>
      </x:c>
      <x:c r="C37" s="53"/>
      <x:c r="D37" s="54"/>
      <x:c r="E37" s="54"/>
      <x:c r="F37" s="53" t="str">
        <x:f>IF('RETAIL &amp; PRINT'!Y40="","",'RETAIL &amp; PRINT'!Y40)</x:f>
      </x:c>
      <x:c r="G37" s="53" t="str">
        <x:f>IF(F37="","",F37*10%)</x:f>
      </x:c>
      <x:c r="H37" s="120"/>
      <x:c r="I37" s="1"/>
      <x:c r="J37" s="1"/>
      <x:c r="K37" s="1"/>
      <x:c r="L37" s="1"/>
      <x:c r="M37" s="1"/>
      <x:c r="N37" s="1"/>
      <x:c r="O37" s="1"/>
      <x:c r="P37" s="1"/>
    </x:row>
    <x:row r="38" ht="16.5">
      <x:c r="A38" s="171"/>
      <x:c r="B38" s="52" t="str">
        <x:f>IF(SUM(C38:G38)=0,"",SUM(C38:G38))</x:f>
      </x:c>
      <x:c r="C38" s="53"/>
      <x:c r="D38" s="54"/>
      <x:c r="E38" s="54"/>
      <x:c r="F38" s="53" t="str">
        <x:f>IF('RETAIL &amp; PRINT'!Y41="","",'RETAIL &amp; PRINT'!Y41)</x:f>
      </x:c>
      <x:c r="G38" s="53" t="str">
        <x:f>IF(F38="","",F38*10%)</x:f>
      </x:c>
      <x:c r="H38" s="120"/>
      <x:c r="I38" s="1"/>
      <x:c r="J38" s="1"/>
      <x:c r="K38" s="1"/>
      <x:c r="L38" s="1"/>
      <x:c r="M38" s="1"/>
      <x:c r="N38" s="1"/>
      <x:c r="O38" s="1"/>
      <x:c r="P38" s="1"/>
    </x:row>
    <x:row r="39" ht="16.5">
      <x:c r="A39" s="51"/>
      <x:c r="B39" s="75" t="str">
        <x:f>IF(SUM(B8:B38)=0,"",SUM(B8:B38))</x:f>
      </x:c>
      <x:c r="C39" s="75" t="str">
        <x:f t="shared" ref="C39:F39" si="2">IF(SUM(C8:C38)=0,"",SUM(C8:C38))</x:f>
      </x:c>
      <x:c r="D39" s="75" t="str">
        <x:f t="shared" si="2">IF(SUM(D8:D38)=0,"",SUM(D8:D38))</x:f>
      </x:c>
      <x:c r="E39" s="75" t="str">
        <x:f t="shared" si="2">IF(SUM(E8:E38)=0,"",SUM(E8:E38))</x:f>
      </x:c>
      <x:c r="F39" s="75" t="str">
        <x:f t="shared" si="2">IF(SUM(F8:F38)=0,"",SUM(F8:F38))</x:f>
      </x:c>
      <x:c r="G39" s="75" t="str">
        <x:f>IF(SUM(G8:G38)=0,"",SUM(G8:G38))</x:f>
      </x:c>
      <x:c r="H39" s="121"/>
      <x:c r="I39" s="1"/>
      <x:c r="J39" s="1"/>
      <x:c r="K39" s="1"/>
      <x:c r="L39" s="1"/>
      <x:c r="M39" s="1"/>
      <x:c r="N39" s="1"/>
      <x:c r="O39" s="1"/>
      <x:c r="P39" s="1"/>
    </x:row>
    <x:row r="40" ht="16.5">
      <x:c r="A40" s="51"/>
      <x:c r="B40" s="67" t="str">
        <x:f>IF(B39="","",B39)</x:f>
      </x:c>
      <x:c r="C40" s="67" t="str">
        <x:f>IF(C39="","",C39)</x:f>
      </x:c>
      <x:c r="D40" s="107" t="str">
        <x:f>IF(SUM(D39:E39)=0,"",SUM(D39:E39))</x:f>
      </x:c>
      <x:c r="E40" s="108"/>
      <x:c r="F40" s="142" t="str">
        <x:f>IF(SUM(F39:G39)=0,"",SUM(F39:G39))</x:f>
      </x:c>
      <x:c r="G40" s="143"/>
      <x:c r="H40" s="122"/>
      <x:c r="I40" s="27"/>
      <x:c r="J40" s="1"/>
      <x:c r="K40" s="1"/>
      <x:c r="L40" s="1"/>
      <x:c r="M40" s="1"/>
      <x:c r="N40" s="1"/>
      <x:c r="O40" s="1"/>
      <x:c r="P40" s="1"/>
    </x:row>
    <x:row r="41" ht="16.5">
      <x:c r="B41" s="11"/>
      <x:c r="C41" s="1"/>
      <x:c r="D41" s="19"/>
      <x:c r="E41" s="19"/>
      <x:c r="F41" s="12"/>
      <x:c r="G41" s="13"/>
      <x:c r="H41" s="13"/>
      <x:c r="I41" s="1"/>
      <x:c r="J41" s="1"/>
      <x:c r="K41" s="1"/>
      <x:c r="L41" s="1"/>
      <x:c r="M41" s="1"/>
      <x:c r="N41" s="1"/>
      <x:c r="O41" s="1"/>
      <x:c r="P41" s="1"/>
    </x:row>
    <x:row r="42" ht="16.5">
      <x:c r="B42" s="11"/>
      <x:c r="C42" s="1"/>
      <x:c r="D42" s="19"/>
      <x:c r="E42" s="19"/>
      <x:c r="F42" s="12"/>
      <x:c r="G42" s="25"/>
      <x:c r="H42" s="25"/>
      <x:c r="I42" s="1"/>
      <x:c r="J42" s="1"/>
      <x:c r="K42" s="1"/>
      <x:c r="L42" s="1"/>
      <x:c r="M42" s="1"/>
      <x:c r="N42" s="1"/>
      <x:c r="O42" s="1"/>
      <x:c r="P42" s="1"/>
    </x:row>
    <x:row r="43" ht="16.5">
      <x:c r="B43" s="11"/>
      <x:c r="C43" s="27"/>
      <x:c r="D43" s="19"/>
      <x:c r="E43" s="19"/>
      <x:c r="F43" s="12"/>
      <x:c r="G43" s="13"/>
      <x:c r="H43" s="13"/>
      <x:c r="I43" s="1"/>
      <x:c r="J43" s="1"/>
      <x:c r="K43" s="1"/>
      <x:c r="L43" s="1"/>
      <x:c r="M43" s="1"/>
      <x:c r="N43" s="1"/>
      <x:c r="O43" s="1"/>
      <x:c r="P43" s="1"/>
    </x:row>
    <x:row r="44" ht="16.5">
      <x:c r="B44" s="11"/>
      <x:c r="C44" s="27"/>
      <x:c r="D44" s="19"/>
      <x:c r="E44" s="19"/>
      <x:c r="F44" s="12"/>
      <x:c r="G44" s="13"/>
      <x:c r="H44" s="13"/>
      <x:c r="I44" s="1"/>
      <x:c r="J44" s="1"/>
      <x:c r="K44" s="1"/>
      <x:c r="L44" s="1"/>
      <x:c r="M44" s="1"/>
      <x:c r="N44" s="1"/>
      <x:c r="O44" s="1"/>
      <x:c r="P44" s="1"/>
    </x:row>
    <x:row r="45" ht="16.5">
      <x:c r="B45" s="11"/>
      <x:c r="C45" s="27"/>
      <x:c r="D45" s="19"/>
      <x:c r="E45" s="19"/>
      <x:c r="F45" s="12"/>
      <x:c r="G45" s="13"/>
      <x:c r="H45" s="13"/>
      <x:c r="I45" s="1"/>
      <x:c r="J45" s="1"/>
      <x:c r="K45" s="1"/>
      <x:c r="L45" s="1"/>
      <x:c r="M45" s="1"/>
      <x:c r="N45" s="1"/>
      <x:c r="O45" s="1"/>
      <x:c r="P45" s="1"/>
    </x:row>
    <x:row r="46" ht="16.5">
      <x:c r="B46" s="11"/>
      <x:c r="C46" s="1"/>
      <x:c r="D46" s="19"/>
      <x:c r="E46" s="19"/>
      <x:c r="F46" s="12"/>
      <x:c r="G46" s="13"/>
      <x:c r="H46" s="13"/>
      <x:c r="I46" s="1"/>
      <x:c r="J46" s="1"/>
      <x:c r="K46" s="1"/>
      <x:c r="L46" s="1"/>
      <x:c r="M46" s="1"/>
      <x:c r="N46" s="1"/>
      <x:c r="O46" s="1"/>
      <x:c r="P46" s="1"/>
    </x:row>
    <x:row r="47" ht="16.5">
      <x:c r="B47" s="11"/>
      <x:c r="C47" s="1"/>
      <x:c r="D47" s="19"/>
      <x:c r="E47" s="19"/>
      <x:c r="F47" s="12"/>
      <x:c r="G47" s="13"/>
      <x:c r="H47" s="13"/>
      <x:c r="I47" s="1"/>
      <x:c r="J47" s="1"/>
      <x:c r="K47" s="1"/>
      <x:c r="L47" s="1"/>
      <x:c r="M47" s="1"/>
      <x:c r="N47" s="1"/>
      <x:c r="O47" s="1"/>
      <x:c r="P47" s="1"/>
    </x:row>
    <x:row r="48" ht="16.5">
      <x:c r="B48" s="11"/>
      <x:c r="C48" s="1"/>
      <x:c r="D48" s="19"/>
      <x:c r="E48" s="19"/>
      <x:c r="F48" s="12"/>
      <x:c r="G48" s="13"/>
      <x:c r="H48" s="13"/>
      <x:c r="I48" s="1"/>
      <x:c r="J48" s="1"/>
      <x:c r="K48" s="1"/>
      <x:c r="L48" s="1"/>
      <x:c r="M48" s="1"/>
      <x:c r="N48" s="1"/>
      <x:c r="O48" s="1"/>
      <x:c r="P48" s="1"/>
    </x:row>
    <x:row r="49" ht="16.5">
      <x:c r="B49" s="11"/>
      <x:c r="C49" s="1"/>
      <x:c r="D49" s="19"/>
      <x:c r="E49" s="19"/>
      <x:c r="F49" s="12"/>
      <x:c r="G49" s="13"/>
      <x:c r="H49" s="13"/>
      <x:c r="I49" s="1"/>
      <x:c r="J49" s="1"/>
      <x:c r="K49" s="1"/>
      <x:c r="L49" s="1"/>
      <x:c r="M49" s="1"/>
      <x:c r="N49" s="1"/>
      <x:c r="O49" s="1"/>
      <x:c r="P49" s="1"/>
    </x:row>
    <x:row r="50" ht="16.5">
      <x:c r="A50"/>
      <x:c r="B50" s="11"/>
      <x:c r="C50" s="1"/>
      <x:c r="D50" s="19"/>
      <x:c r="E50" s="19"/>
      <x:c r="F50" s="12"/>
      <x:c r="G50" s="13"/>
      <x:c r="H50" s="13"/>
      <x:c r="I50" s="1"/>
      <x:c r="J50" s="1"/>
      <x:c r="K50" s="1"/>
      <x:c r="L50" s="1"/>
      <x:c r="M50" s="1"/>
      <x:c r="N50" s="1"/>
      <x:c r="O50" s="1"/>
      <x:c r="P50" s="1"/>
    </x:row>
    <x:row r="51" ht="16.5">
      <x:c r="A51"/>
      <x:c r="B51" s="11"/>
      <x:c r="C51" s="1"/>
      <x:c r="D51" s="19"/>
      <x:c r="E51" s="19"/>
      <x:c r="F51" s="12"/>
      <x:c r="G51" s="13"/>
      <x:c r="H51" s="13"/>
      <x:c r="I51" s="1"/>
      <x:c r="J51" s="1"/>
      <x:c r="K51" s="1"/>
      <x:c r="L51" s="1"/>
      <x:c r="M51" s="1"/>
      <x:c r="N51" s="1"/>
      <x:c r="O51" s="1"/>
      <x:c r="P51" s="1"/>
    </x:row>
    <x:row r="52" ht="16.5">
      <x:c r="A52"/>
      <x:c r="B52" s="11"/>
      <x:c r="C52" s="1"/>
      <x:c r="D52" s="19"/>
      <x:c r="E52" s="19"/>
      <x:c r="F52" s="12"/>
      <x:c r="G52" s="13"/>
      <x:c r="H52" s="13"/>
      <x:c r="I52" s="1"/>
      <x:c r="J52" s="1"/>
      <x:c r="K52" s="1"/>
      <x:c r="L52" s="1"/>
      <x:c r="M52" s="1"/>
      <x:c r="N52" s="1"/>
      <x:c r="O52" s="1"/>
      <x:c r="P52" s="1"/>
    </x:row>
    <x:row r="53" ht="16.5">
      <x:c r="A53"/>
      <x:c r="B53" s="11"/>
      <x:c r="C53" s="1"/>
      <x:c r="D53" s="19"/>
      <x:c r="E53" s="19"/>
      <x:c r="F53" s="12"/>
      <x:c r="G53" s="13"/>
      <x:c r="H53" s="13"/>
      <x:c r="I53" s="1"/>
      <x:c r="J53" s="1"/>
      <x:c r="K53" s="1"/>
      <x:c r="L53" s="1"/>
      <x:c r="M53" s="1"/>
      <x:c r="N53" s="1"/>
      <x:c r="O53" s="1"/>
      <x:c r="P53" s="1"/>
    </x:row>
    <x:row r="54" ht="16.5">
      <x:c r="A54"/>
      <x:c r="B54" s="11"/>
      <x:c r="C54" s="1"/>
      <x:c r="D54" s="19"/>
      <x:c r="E54" s="19"/>
      <x:c r="F54" s="12"/>
      <x:c r="G54" s="13"/>
      <x:c r="H54" s="13"/>
      <x:c r="I54" s="1"/>
      <x:c r="J54" s="1"/>
      <x:c r="K54" s="1"/>
      <x:c r="L54" s="1"/>
      <x:c r="M54" s="1"/>
      <x:c r="N54" s="1"/>
      <x:c r="O54" s="1"/>
      <x:c r="P54" s="1"/>
    </x:row>
    <x:row r="55" ht="16.5">
      <x:c r="A55"/>
      <x:c r="B55" s="11"/>
      <x:c r="C55" s="1"/>
      <x:c r="D55" s="19"/>
      <x:c r="E55" s="19"/>
      <x:c r="F55" s="12"/>
      <x:c r="G55" s="13"/>
      <x:c r="H55" s="13"/>
      <x:c r="I55" s="1"/>
      <x:c r="J55" s="1"/>
      <x:c r="K55" s="1"/>
      <x:c r="L55" s="1"/>
      <x:c r="M55" s="1"/>
      <x:c r="N55" s="1"/>
      <x:c r="O55" s="1"/>
      <x:c r="P55" s="1"/>
    </x:row>
    <x:row r="56" ht="16.5">
      <x:c r="A56"/>
      <x:c r="B56" s="11"/>
      <x:c r="C56" s="1"/>
      <x:c r="D56" s="19"/>
      <x:c r="E56" s="19"/>
      <x:c r="F56" s="12"/>
      <x:c r="G56" s="13"/>
      <x:c r="H56" s="13"/>
      <x:c r="I56" s="1"/>
      <x:c r="J56" s="1"/>
      <x:c r="K56" s="1"/>
      <x:c r="L56" s="1"/>
      <x:c r="M56" s="1"/>
      <x:c r="N56" s="1"/>
      <x:c r="O56" s="1"/>
      <x:c r="P56" s="1"/>
    </x:row>
    <x:row r="57" ht="16.5">
      <x:c r="A57"/>
      <x:c r="B57" s="11"/>
      <x:c r="C57" s="1"/>
      <x:c r="D57" s="19"/>
      <x:c r="E57" s="19"/>
      <x:c r="F57" s="12"/>
      <x:c r="G57" s="13"/>
      <x:c r="H57" s="13"/>
      <x:c r="I57" s="1"/>
      <x:c r="J57" s="1"/>
      <x:c r="K57" s="1"/>
      <x:c r="L57" s="1"/>
      <x:c r="M57" s="1"/>
      <x:c r="N57" s="1"/>
      <x:c r="O57" s="1"/>
      <x:c r="P57" s="1"/>
    </x:row>
    <x:row r="58" ht="16.5">
      <x:c r="A58"/>
      <x:c r="B58" s="11"/>
      <x:c r="C58" s="1"/>
      <x:c r="D58" s="19"/>
      <x:c r="E58" s="19"/>
      <x:c r="F58" s="12"/>
      <x:c r="G58" s="13"/>
      <x:c r="H58" s="13"/>
      <x:c r="I58" s="1"/>
      <x:c r="J58" s="1"/>
      <x:c r="K58" s="1"/>
      <x:c r="L58" s="1"/>
      <x:c r="M58" s="1"/>
      <x:c r="N58" s="1"/>
      <x:c r="O58" s="1"/>
      <x:c r="P58" s="1"/>
    </x:row>
    <x:row r="59" ht="16.5">
      <x:c r="A59"/>
      <x:c r="B59" s="11"/>
      <x:c r="C59" s="1"/>
      <x:c r="D59" s="19"/>
      <x:c r="E59" s="19"/>
      <x:c r="F59" s="12"/>
      <x:c r="G59" s="13"/>
      <x:c r="H59" s="13"/>
      <x:c r="I59" s="1"/>
      <x:c r="J59" s="1"/>
      <x:c r="K59" s="1"/>
      <x:c r="L59" s="1"/>
      <x:c r="M59" s="1"/>
      <x:c r="N59" s="1"/>
      <x:c r="O59" s="1"/>
      <x:c r="P59" s="1"/>
    </x:row>
    <x:row r="60" ht="16.5">
      <x:c r="A60"/>
      <x:c r="B60" s="11"/>
      <x:c r="C60" s="1"/>
      <x:c r="D60" s="19"/>
      <x:c r="E60" s="19"/>
      <x:c r="F60" s="12"/>
      <x:c r="G60" s="13"/>
      <x:c r="H60" s="13"/>
      <x:c r="I60" s="1"/>
      <x:c r="J60" s="1"/>
      <x:c r="K60" s="1"/>
      <x:c r="L60" s="1"/>
      <x:c r="M60" s="1"/>
      <x:c r="N60" s="1"/>
      <x:c r="O60" s="1"/>
      <x:c r="P60" s="1"/>
    </x:row>
    <x:row r="61" ht="16.5">
      <x:c r="A61"/>
      <x:c r="B61" s="11"/>
      <x:c r="C61" s="1"/>
      <x:c r="D61" s="19"/>
      <x:c r="E61" s="19"/>
      <x:c r="F61" s="12"/>
      <x:c r="G61" s="13"/>
      <x:c r="H61" s="13"/>
      <x:c r="I61" s="1"/>
      <x:c r="J61" s="1"/>
      <x:c r="K61" s="1"/>
      <x:c r="L61" s="1"/>
      <x:c r="M61" s="1"/>
      <x:c r="N61" s="1"/>
      <x:c r="O61" s="1"/>
      <x:c r="P61" s="1"/>
    </x:row>
    <x:row r="62" ht="16.5">
      <x:c r="A62"/>
      <x:c r="B62" s="11"/>
      <x:c r="C62" s="1"/>
      <x:c r="D62" s="19"/>
      <x:c r="E62" s="19"/>
      <x:c r="F62" s="12"/>
      <x:c r="G62" s="13"/>
      <x:c r="H62" s="13"/>
      <x:c r="I62" s="1"/>
      <x:c r="J62" s="1"/>
      <x:c r="K62" s="1"/>
      <x:c r="L62" s="1"/>
      <x:c r="M62" s="1"/>
      <x:c r="N62" s="1"/>
      <x:c r="O62" s="1"/>
      <x:c r="P62" s="1"/>
    </x:row>
    <x:row r="63" ht="16.5">
      <x:c r="A63"/>
      <x:c r="B63" s="11"/>
      <x:c r="C63" s="1"/>
      <x:c r="D63" s="19"/>
      <x:c r="E63" s="19"/>
      <x:c r="F63" s="12"/>
      <x:c r="G63" s="13"/>
      <x:c r="H63" s="13"/>
      <x:c r="I63" s="1"/>
      <x:c r="J63" s="1"/>
      <x:c r="K63" s="1"/>
      <x:c r="L63" s="1"/>
      <x:c r="M63" s="1"/>
      <x:c r="N63" s="1"/>
      <x:c r="O63" s="1"/>
      <x:c r="P63" s="1"/>
    </x:row>
    <x:row r="64" ht="16.5">
      <x:c r="A64"/>
      <x:c r="B64" s="11"/>
      <x:c r="C64" s="1"/>
      <x:c r="D64" s="19"/>
      <x:c r="E64" s="19"/>
      <x:c r="F64" s="12"/>
      <x:c r="G64" s="13"/>
      <x:c r="H64" s="13"/>
      <x:c r="I64" s="1"/>
      <x:c r="J64" s="1"/>
      <x:c r="K64" s="1"/>
      <x:c r="L64" s="1"/>
      <x:c r="M64" s="1"/>
      <x:c r="N64" s="1"/>
      <x:c r="O64" s="1"/>
      <x:c r="P64" s="1"/>
    </x:row>
    <x:row r="65" ht="16.5">
      <x:c r="A65"/>
      <x:c r="B65" s="11"/>
      <x:c r="C65" s="1"/>
      <x:c r="D65" s="19"/>
      <x:c r="E65" s="19"/>
      <x:c r="F65" s="12"/>
      <x:c r="G65" s="13"/>
      <x:c r="H65" s="13"/>
      <x:c r="I65" s="1"/>
      <x:c r="J65" s="1"/>
      <x:c r="K65" s="1"/>
      <x:c r="L65" s="1"/>
      <x:c r="M65" s="1"/>
      <x:c r="N65" s="1"/>
      <x:c r="O65" s="1"/>
      <x:c r="P65" s="1"/>
    </x:row>
    <x:row r="66" ht="16.5">
      <x:c r="A66"/>
      <x:c r="B66" s="11"/>
      <x:c r="C66" s="1"/>
      <x:c r="D66" s="19"/>
      <x:c r="E66" s="19"/>
      <x:c r="F66" s="12"/>
      <x:c r="G66" s="13"/>
      <x:c r="H66" s="13"/>
      <x:c r="I66" s="1"/>
      <x:c r="J66" s="1"/>
      <x:c r="K66" s="1"/>
      <x:c r="L66" s="1"/>
      <x:c r="M66" s="1"/>
      <x:c r="N66" s="1"/>
      <x:c r="O66" s="1"/>
      <x:c r="P66" s="1"/>
    </x:row>
    <x:row r="67" ht="16.5">
      <x:c r="A67"/>
      <x:c r="B67" s="11"/>
      <x:c r="C67" s="1"/>
      <x:c r="D67" s="19"/>
      <x:c r="E67" s="19"/>
      <x:c r="F67" s="12"/>
      <x:c r="G67" s="13"/>
      <x:c r="H67" s="13"/>
      <x:c r="I67" s="1"/>
      <x:c r="J67" s="1"/>
      <x:c r="K67" s="1"/>
      <x:c r="L67" s="1"/>
      <x:c r="M67" s="1"/>
      <x:c r="N67" s="1"/>
      <x:c r="O67" s="1"/>
      <x:c r="P67" s="1"/>
    </x:row>
    <x:row r="68" ht="16.5">
      <x:c r="A68"/>
      <x:c r="B68" s="11"/>
      <x:c r="C68" s="1"/>
      <x:c r="D68" s="19"/>
      <x:c r="E68" s="19"/>
      <x:c r="F68" s="12"/>
      <x:c r="G68" s="13"/>
      <x:c r="H68" s="13"/>
      <x:c r="I68" s="1"/>
      <x:c r="J68" s="1"/>
      <x:c r="K68" s="1"/>
      <x:c r="L68" s="1"/>
      <x:c r="M68" s="1"/>
      <x:c r="N68" s="1"/>
      <x:c r="O68" s="1"/>
      <x:c r="P68" s="1"/>
    </x:row>
    <x:row r="69" ht="16.5">
      <x:c r="A69"/>
      <x:c r="B69" s="11"/>
      <x:c r="C69" s="1"/>
      <x:c r="D69" s="19"/>
      <x:c r="E69" s="19"/>
      <x:c r="F69" s="12"/>
      <x:c r="G69" s="13"/>
      <x:c r="H69" s="13"/>
      <x:c r="I69" s="1"/>
      <x:c r="J69" s="1"/>
      <x:c r="K69" s="1"/>
      <x:c r="L69" s="1"/>
      <x:c r="M69" s="1"/>
      <x:c r="N69" s="1"/>
      <x:c r="O69" s="1"/>
      <x:c r="P69" s="1"/>
    </x:row>
    <x:row r="70" ht="16.5">
      <x:c r="A70"/>
      <x:c r="B70" s="11"/>
      <x:c r="C70" s="1"/>
      <x:c r="D70" s="19"/>
      <x:c r="E70" s="19"/>
      <x:c r="F70" s="12"/>
      <x:c r="G70" s="13"/>
      <x:c r="H70" s="13"/>
      <x:c r="I70" s="1"/>
      <x:c r="J70" s="1"/>
      <x:c r="K70" s="1"/>
      <x:c r="L70" s="1"/>
      <x:c r="M70" s="1"/>
      <x:c r="N70" s="1"/>
      <x:c r="O70" s="1"/>
      <x:c r="P70" s="1"/>
    </x:row>
    <x:row r="71" ht="16.5">
      <x:c r="A71"/>
      <x:c r="B71" s="11"/>
      <x:c r="C71" s="1"/>
      <x:c r="D71" s="19"/>
      <x:c r="E71" s="19"/>
      <x:c r="F71" s="12"/>
      <x:c r="G71" s="13"/>
      <x:c r="H71" s="13"/>
      <x:c r="I71" s="1"/>
      <x:c r="J71" s="1"/>
      <x:c r="K71" s="1"/>
      <x:c r="L71" s="1"/>
      <x:c r="M71" s="1"/>
      <x:c r="N71" s="1"/>
      <x:c r="O71" s="1"/>
      <x:c r="P71" s="1"/>
    </x:row>
    <x:row r="72" ht="16.5">
      <x:c r="A72"/>
      <x:c r="B72" s="11"/>
      <x:c r="C72" s="1"/>
      <x:c r="D72" s="19"/>
      <x:c r="E72" s="19"/>
      <x:c r="F72" s="12"/>
      <x:c r="G72" s="13"/>
      <x:c r="H72" s="13"/>
      <x:c r="I72" s="1"/>
      <x:c r="J72" s="1"/>
      <x:c r="K72" s="1"/>
      <x:c r="L72" s="1"/>
      <x:c r="M72" s="1"/>
      <x:c r="N72" s="1"/>
      <x:c r="O72" s="1"/>
      <x:c r="P72" s="1"/>
    </x:row>
    <x:row r="73" ht="16.5">
      <x:c r="A73"/>
      <x:c r="B73" s="11"/>
      <x:c r="C73" s="1"/>
      <x:c r="D73" s="19"/>
      <x:c r="E73" s="19"/>
      <x:c r="F73" s="12"/>
      <x:c r="G73" s="13"/>
      <x:c r="H73" s="13"/>
      <x:c r="I73" s="1"/>
      <x:c r="J73" s="1"/>
      <x:c r="K73" s="1"/>
      <x:c r="L73" s="1"/>
      <x:c r="M73" s="1"/>
      <x:c r="N73" s="1"/>
      <x:c r="O73" s="1"/>
      <x:c r="P73" s="1"/>
    </x:row>
    <x:row r="74" ht="16.5">
      <x:c r="A74"/>
      <x:c r="B74" s="11"/>
      <x:c r="C74" s="1"/>
      <x:c r="D74" s="19"/>
      <x:c r="E74" s="19"/>
      <x:c r="F74" s="12"/>
      <x:c r="G74" s="13"/>
      <x:c r="H74" s="13"/>
      <x:c r="I74" s="1"/>
      <x:c r="J74" s="1"/>
      <x:c r="K74" s="1"/>
      <x:c r="L74" s="1"/>
      <x:c r="M74" s="1"/>
      <x:c r="N74" s="1"/>
      <x:c r="O74" s="1"/>
      <x:c r="P74" s="1"/>
    </x:row>
    <x:row r="75" ht="16.5">
      <x:c r="A75"/>
      <x:c r="B75" s="11"/>
      <x:c r="C75" s="1"/>
      <x:c r="D75" s="19"/>
      <x:c r="E75" s="19"/>
      <x:c r="F75" s="12"/>
      <x:c r="G75" s="13"/>
      <x:c r="H75" s="13"/>
      <x:c r="I75" s="1"/>
      <x:c r="J75" s="1"/>
      <x:c r="K75" s="1"/>
      <x:c r="L75" s="1"/>
      <x:c r="M75" s="1"/>
      <x:c r="N75" s="1"/>
      <x:c r="O75" s="1"/>
      <x:c r="P75" s="1"/>
    </x:row>
    <x:row r="76" ht="16.5">
      <x:c r="A76"/>
      <x:c r="B76" s="11"/>
      <x:c r="C76" s="1"/>
      <x:c r="D76" s="19"/>
      <x:c r="E76" s="19"/>
      <x:c r="F76" s="12"/>
      <x:c r="G76" s="13"/>
      <x:c r="H76" s="13"/>
      <x:c r="I76" s="1"/>
      <x:c r="J76" s="1"/>
      <x:c r="K76" s="1"/>
      <x:c r="L76" s="1"/>
      <x:c r="M76" s="1"/>
      <x:c r="N76" s="1"/>
      <x:c r="O76" s="1"/>
      <x:c r="P76" s="1"/>
    </x:row>
    <x:row r="77" ht="16.5">
      <x:c r="A77"/>
      <x:c r="B77" s="11"/>
      <x:c r="C77" s="1"/>
      <x:c r="D77" s="19"/>
      <x:c r="E77" s="19"/>
      <x:c r="F77" s="12"/>
      <x:c r="G77" s="13"/>
      <x:c r="H77" s="13"/>
      <x:c r="I77" s="1"/>
      <x:c r="J77" s="1"/>
      <x:c r="K77" s="1"/>
      <x:c r="L77" s="1"/>
      <x:c r="M77" s="1"/>
      <x:c r="N77" s="1"/>
      <x:c r="O77" s="1"/>
      <x:c r="P77" s="1"/>
    </x:row>
    <x:row r="78" ht="16.5">
      <x:c r="A78"/>
      <x:c r="B78" s="11"/>
      <x:c r="C78" s="1"/>
      <x:c r="D78" s="19"/>
      <x:c r="E78" s="19"/>
      <x:c r="F78" s="12"/>
      <x:c r="G78" s="13"/>
      <x:c r="H78" s="13"/>
      <x:c r="I78" s="1"/>
      <x:c r="J78" s="1"/>
      <x:c r="K78" s="1"/>
      <x:c r="L78" s="1"/>
      <x:c r="M78" s="1"/>
      <x:c r="N78" s="1"/>
      <x:c r="O78" s="1"/>
      <x:c r="P78" s="1"/>
    </x:row>
  </x:sheetData>
  <x:mergeCells>
    <x:mergeCell ref="D5:E5"/>
    <x:mergeCell ref="I5:K5"/>
    <x:mergeCell ref="F40:G40"/>
    <x:mergeCell ref="F5:G5"/>
  </x:mergeCells>
  <x:pageMargins left="0.7" right="0.7" top="0.75" bottom="0.75" header="0.3" footer="0.3"/>
  <x:drawing xmlns:r="http://schemas.openxmlformats.org/officeDocument/2006/relationships" r:id="Rd2b5dd6c673b4fe4"/>
</x:worksheet>
</file>

<file path=xl/worksheets/sheet37.xml><?xml version="1.0" encoding="utf-8"?>
<x:worksheet xmlns:x="http://schemas.openxmlformats.org/spreadsheetml/2006/main">
  <x:sheetPr>
    <x:tabColor theme="9" tint="-0.24998"/>
  </x:sheetPr>
  <x:sheetFormatPr defaultRowHeight="15"/>
  <x:cols>
    <x:col min="1" max="1" width="13.42578125" style="14" customWidth="1"/>
    <x:col min="2" max="2" width="16.42578125" style="6" customWidth="1"/>
    <x:col min="3" max="3" width="19" customWidth="1"/>
    <x:col min="4" max="4" width="14" style="20" customWidth="1"/>
    <x:col min="5" max="5" width="14.140625" style="20" customWidth="1"/>
    <x:col min="6" max="6" width="16.5703125" style="20" customWidth="1"/>
    <x:col min="7" max="7" width="29.5703125" customWidth="1"/>
    <x:col min="8" max="8" width="11.42578125" customWidth="1"/>
    <x:col min="9" max="9" width="13.140625" customWidth="1"/>
  </x:cols>
  <x:sheetData>
    <x:row r="2" ht="18">
      <x:c r="A2" s="16" t="str">
        <x:v>DAILY SALES  - FEBRUARY 2027 (THIRD PARD)</x:v>
      </x:c>
      <x:c r="B2" s="16"/>
      <x:c r="C2" s="16"/>
      <x:c r="D2" s="18"/>
      <x:c r="E2" s="18"/>
      <x:c r="G2" s="20"/>
      <x:c r="H2" s="16"/>
      <x:c r="I2" s="16"/>
      <x:c r="J2" s="16"/>
      <x:c r="K2" s="16"/>
      <x:c r="L2" s="16"/>
      <x:c r="M2" s="16"/>
      <x:c r="N2" s="16"/>
      <x:c r="O2" s="16"/>
    </x:row>
    <x:row r="3" ht="18">
      <x:c r="B3" s="24"/>
      <x:c r="C3" s="24"/>
      <x:c r="D3" s="18"/>
      <x:c r="E3" s="18"/>
      <x:c r="F3" s="18"/>
      <x:c r="G3" s="24"/>
      <x:c r="H3" s="24"/>
      <x:c r="I3" s="24"/>
      <x:c r="J3" s="24"/>
      <x:c r="K3" s="24"/>
      <x:c r="L3" s="24"/>
      <x:c r="M3" s="24"/>
      <x:c r="N3" s="24"/>
      <x:c r="O3" s="24"/>
    </x:row>
    <x:row r="4" ht="16.5">
      <x:c r="B4" s="11"/>
      <x:c r="C4" s="1"/>
      <x:c r="D4" s="19"/>
      <x:c r="E4" s="19"/>
      <x:c r="F4" s="19"/>
      <x:c r="G4" s="1"/>
      <x:c r="H4" s="1"/>
      <x:c r="I4" s="1"/>
      <x:c r="J4" s="1"/>
      <x:c r="K4" s="1"/>
      <x:c r="L4" s="1"/>
      <x:c r="M4" s="1"/>
      <x:c r="N4" s="1"/>
      <x:c r="O4" s="1"/>
    </x:row>
    <x:row r="5" ht="30">
      <x:c r="A5" s="21" t="s">
        <x:v>21</x:v>
      </x:c>
      <x:c r="B5" s="22" t="s">
        <x:v>22</x:v>
      </x:c>
      <x:c r="C5" s="106" t="s">
        <x:v>31</x:v>
      </x:c>
      <x:c r="D5" s="106" t="s">
        <x:v>32</x:v>
      </x:c>
      <x:c r="E5" s="105" t="s">
        <x:v>38</x:v>
      </x:c>
      <x:c r="F5" s="106" t="s">
        <x:v>33</x:v>
      </x:c>
      <x:c r="G5" s="2"/>
      <x:c r="H5" s="135" t="s">
        <x:v>26</x:v>
      </x:c>
      <x:c r="I5" s="135"/>
      <x:c r="J5" s="135"/>
      <x:c r="O5" s="1"/>
    </x:row>
    <x:row r="6" ht="16.5">
      <x:c r="A6" s="21"/>
      <x:c r="B6" s="22"/>
      <x:c r="C6" s="23"/>
      <x:c r="D6" s="69"/>
      <x:c r="E6" s="69"/>
      <x:c r="F6" s="69" t="s">
        <x:v>39</x:v>
      </x:c>
      <x:c r="G6" s="2"/>
      <x:c r="H6" s="17"/>
      <x:c r="I6" s="17"/>
      <x:c r="J6" s="17"/>
      <x:c r="O6" s="1"/>
    </x:row>
    <x:row r="7" ht="16.5">
      <x:c r="A7" s="15"/>
      <x:c r="B7" s="7"/>
      <x:c r="C7" s="5"/>
      <x:c r="D7" s="70"/>
      <x:c r="E7" s="70"/>
      <x:c r="F7" s="70" t="s">
        <x:v>40</x:v>
      </x:c>
      <x:c r="G7" s="2"/>
      <x:c r="H7" s="3" t="str">
        <x:f>C5</x:f>
        <x:v>Kitwe</x:v>
      </x:c>
      <x:c r="I7" s="10" t="str">
        <x:f>IF(C39="","",C39)</x:f>
      </x:c>
      <x:c r="J7" s="4" t="str">
        <x:f>IFERROR($C$39/$B$39,"")</x:f>
      </x:c>
      <x:c r="O7" s="1"/>
    </x:row>
    <x:row r="8" ht="16.5">
      <x:c r="A8" s="171" t="n">
        <x:v>46419</x:v>
      </x:c>
      <x:c r="B8" s="52" t="str">
        <x:f>IF(SUM(C8:F8)=0,"",SUM(C8:F8))</x:f>
      </x:c>
      <x:c r="C8" s="53"/>
      <x:c r="D8" s="54"/>
      <x:c r="E8" s="54"/>
      <x:c r="F8" s="54"/>
      <x:c r="G8" s="1"/>
      <x:c r="H8" s="3" t="str">
        <x:f>D5</x:f>
        <x:v>Eldo</x:v>
      </x:c>
      <x:c r="I8" s="10" t="str">
        <x:f>IF(D39="","",D39)</x:f>
      </x:c>
      <x:c r="J8" s="4" t="str">
        <x:f>IFERROR($D$39/$B$39,"")</x:f>
      </x:c>
      <x:c r="O8" s="1"/>
    </x:row>
    <x:row r="9" ht="16.5">
      <x:c r="A9" s="171" t="n">
        <x:v>46420</x:v>
      </x:c>
      <x:c r="B9" s="52" t="str">
        <x:f t="shared" ref="B9:B35" si="0">IF(SUM(C9:F9)=0,"",SUM(C9:F9))</x:f>
      </x:c>
      <x:c r="C9" s="53"/>
      <x:c r="D9" s="54"/>
      <x:c r="E9" s="54"/>
      <x:c r="F9" s="54"/>
      <x:c r="G9" s="1"/>
      <x:c r="H9" s="3" t="str">
        <x:f>F5</x:f>
        <x:v>Clubview</x:v>
      </x:c>
      <x:c r="I9" s="10" t="str">
        <x:f>IF(F39="","",F39)</x:f>
      </x:c>
      <x:c r="J9" s="4" t="str">
        <x:f>IFERROR($F$39/$B$39,"")</x:f>
      </x:c>
      <x:c r="O9" s="1"/>
    </x:row>
    <x:row r="10" ht="16.5">
      <x:c r="A10" s="171" t="n">
        <x:v>46421</x:v>
      </x:c>
      <x:c r="B10" s="52" t="str">
        <x:f t="shared" si="0">IF(SUM(C10:F10)=0,"",SUM(C10:F10))</x:f>
      </x:c>
      <x:c r="C10" s="53"/>
      <x:c r="D10" s="54"/>
      <x:c r="E10" s="54"/>
      <x:c r="F10" s="54"/>
      <x:c r="G10" s="1"/>
      <x:c r="H10" s="39"/>
      <x:c r="I10" s="40" t="str">
        <x:f>IF(SUM(I7:I9)=0,"",SUM(I7:I9))</x:f>
      </x:c>
      <x:c r="J10" s="4" t="str">
        <x:f>IF(SUM(J7:J9)=0,"",SUM(J7:J9))</x:f>
      </x:c>
      <x:c r="K10" s="1"/>
      <x:c r="L10" s="1"/>
      <x:c r="M10" s="1"/>
      <x:c r="N10" s="1"/>
      <x:c r="O10" s="1"/>
    </x:row>
    <x:row r="11" ht="16.5">
      <x:c r="A11" s="171" t="n">
        <x:v>46422</x:v>
      </x:c>
      <x:c r="B11" s="52" t="str">
        <x:f t="shared" si="0">IF(SUM(C11:F11)=0,"",SUM(C11:F11))</x:f>
      </x:c>
      <x:c r="C11" s="53"/>
      <x:c r="D11" s="54"/>
      <x:c r="E11" s="54"/>
      <x:c r="F11" s="54"/>
      <x:c r="G11" s="1"/>
      <x:c r="H11" s="1"/>
      <x:c r="I11" s="10"/>
      <x:c r="J11" s="4"/>
      <x:c r="K11" s="1"/>
      <x:c r="L11" s="1"/>
      <x:c r="M11" s="1"/>
      <x:c r="N11" s="1"/>
      <x:c r="O11" s="1"/>
    </x:row>
    <x:row r="12" ht="16.5">
      <x:c r="A12" s="171" t="n">
        <x:v>46423</x:v>
      </x:c>
      <x:c r="B12" s="52" t="str">
        <x:f t="shared" si="0">IF(SUM(C12:F12)=0,"",SUM(C12:F12))</x:f>
      </x:c>
      <x:c r="C12" s="53"/>
      <x:c r="D12" s="54"/>
      <x:c r="E12" s="54"/>
      <x:c r="F12" s="54"/>
      <x:c r="G12" s="1"/>
      <x:c r="H12" s="1"/>
      <x:c r="I12" s="38"/>
      <x:c r="J12" s="30"/>
      <x:c r="K12" s="1"/>
      <x:c r="L12" s="1"/>
      <x:c r="M12" s="1"/>
      <x:c r="N12" s="1"/>
      <x:c r="O12" s="1"/>
    </x:row>
    <x:row r="13" ht="16.5">
      <x:c r="A13" s="171" t="n">
        <x:v>46424</x:v>
      </x:c>
      <x:c r="B13" s="52" t="str">
        <x:f t="shared" si="0">IF(SUM(C13:F13)=0,"",SUM(C13:F13))</x:f>
      </x:c>
      <x:c r="C13" s="53"/>
      <x:c r="D13" s="54"/>
      <x:c r="E13" s="54"/>
      <x:c r="F13" s="54"/>
      <x:c r="G13" s="1"/>
      <x:c r="H13" s="1"/>
      <x:c r="I13" s="1"/>
      <x:c r="J13" s="1"/>
      <x:c r="K13" s="1"/>
      <x:c r="L13" s="1"/>
      <x:c r="M13" s="1"/>
      <x:c r="N13" s="1"/>
      <x:c r="O13" s="1"/>
    </x:row>
    <x:row r="14" ht="16.5">
      <x:c r="A14" s="171" t="n">
        <x:v>46425</x:v>
      </x:c>
      <x:c r="B14" s="52" t="str">
        <x:f t="shared" si="0">IF(SUM(C14:F14)=0,"",SUM(C14:F14))</x:f>
      </x:c>
      <x:c r="C14" s="53"/>
      <x:c r="D14" s="54"/>
      <x:c r="E14" s="54"/>
      <x:c r="F14" s="54"/>
      <x:c r="G14" s="1"/>
      <x:c r="H14" s="1"/>
      <x:c r="I14" s="27"/>
      <x:c r="J14" s="28"/>
      <x:c r="K14" s="1"/>
      <x:c r="L14" s="1"/>
      <x:c r="M14" s="1"/>
      <x:c r="N14" s="1"/>
      <x:c r="O14" s="1"/>
    </x:row>
    <x:row r="15" ht="16.5">
      <x:c r="A15" s="171" t="n">
        <x:v>46426</x:v>
      </x:c>
      <x:c r="B15" s="52" t="str">
        <x:f t="shared" si="0">IF(SUM(C15:F15)=0,"",SUM(C15:F15))</x:f>
      </x:c>
      <x:c r="C15" s="53"/>
      <x:c r="D15" s="54"/>
      <x:c r="E15" s="54"/>
      <x:c r="F15" s="54"/>
      <x:c r="G15" s="1"/>
      <x:c r="H15" s="1"/>
      <x:c r="I15" s="1"/>
      <x:c r="J15" s="1"/>
      <x:c r="K15" s="1"/>
      <x:c r="L15" s="1"/>
      <x:c r="M15" s="1"/>
      <x:c r="N15" s="1"/>
      <x:c r="O15" s="1"/>
    </x:row>
    <x:row r="16" ht="16.5">
      <x:c r="A16" s="171" t="n">
        <x:v>46427</x:v>
      </x:c>
      <x:c r="B16" s="52" t="str">
        <x:f t="shared" si="0">IF(SUM(C16:F16)=0,"",SUM(C16:F16))</x:f>
      </x:c>
      <x:c r="C16" s="53"/>
      <x:c r="D16" s="54"/>
      <x:c r="E16" s="54"/>
      <x:c r="F16" s="54"/>
      <x:c r="G16" s="1"/>
      <x:c r="H16" s="1"/>
      <x:c r="I16" s="1"/>
      <x:c r="J16" s="1"/>
      <x:c r="K16" s="1"/>
      <x:c r="L16" s="1"/>
      <x:c r="M16" s="1"/>
      <x:c r="N16" s="1"/>
      <x:c r="O16" s="1"/>
    </x:row>
    <x:row r="17" ht="16.5">
      <x:c r="A17" s="171" t="n">
        <x:v>46428</x:v>
      </x:c>
      <x:c r="B17" s="52" t="str">
        <x:f t="shared" si="0">IF(SUM(C17:F17)=0,"",SUM(C17:F17))</x:f>
      </x:c>
      <x:c r="C17" s="53"/>
      <x:c r="D17" s="54"/>
      <x:c r="E17" s="54"/>
      <x:c r="F17" s="54"/>
      <x:c r="G17" s="1"/>
      <x:c r="H17" s="1"/>
      <x:c r="I17" s="1"/>
      <x:c r="J17" s="1"/>
      <x:c r="K17" s="1"/>
      <x:c r="L17" s="1"/>
      <x:c r="M17" s="1"/>
      <x:c r="N17" s="1"/>
      <x:c r="O17" s="1"/>
    </x:row>
    <x:row r="18" ht="16.5">
      <x:c r="A18" s="171" t="n">
        <x:v>46429</x:v>
      </x:c>
      <x:c r="B18" s="52" t="str">
        <x:f t="shared" si="0">IF(SUM(C18:F18)=0,"",SUM(C18:F18))</x:f>
      </x:c>
      <x:c r="C18" s="53"/>
      <x:c r="D18" s="54"/>
      <x:c r="E18" s="54"/>
      <x:c r="F18" s="54"/>
      <x:c r="G18" s="1"/>
      <x:c r="H18" s="1"/>
      <x:c r="I18" s="1"/>
      <x:c r="J18" s="1"/>
      <x:c r="K18" s="1"/>
      <x:c r="L18" s="1"/>
      <x:c r="M18" s="1"/>
      <x:c r="N18" s="1"/>
      <x:c r="O18" s="1"/>
    </x:row>
    <x:row r="19" ht="16.5">
      <x:c r="A19" s="171" t="n">
        <x:v>46430</x:v>
      </x:c>
      <x:c r="B19" s="52" t="str">
        <x:f t="shared" si="0">IF(SUM(C19:F19)=0,"",SUM(C19:F19))</x:f>
      </x:c>
      <x:c r="C19" s="53"/>
      <x:c r="D19" s="54"/>
      <x:c r="E19" s="54"/>
      <x:c r="F19" s="54"/>
      <x:c r="G19" s="1"/>
      <x:c r="H19" s="1"/>
      <x:c r="I19" s="1"/>
      <x:c r="J19" s="1"/>
      <x:c r="K19" s="1"/>
      <x:c r="L19" s="1"/>
      <x:c r="M19" s="1"/>
      <x:c r="N19" s="1"/>
      <x:c r="O19" s="1"/>
    </x:row>
    <x:row r="20" ht="16.5">
      <x:c r="A20" s="171" t="n">
        <x:v>46431</x:v>
      </x:c>
      <x:c r="B20" s="52" t="str">
        <x:f t="shared" si="0">IF(SUM(C20:F20)=0,"",SUM(C20:F20))</x:f>
      </x:c>
      <x:c r="C20" s="53"/>
      <x:c r="D20" s="54"/>
      <x:c r="E20" s="54"/>
      <x:c r="F20" s="54"/>
      <x:c r="G20" s="1"/>
      <x:c r="H20" s="1"/>
      <x:c r="I20" s="1"/>
      <x:c r="J20" s="1"/>
      <x:c r="K20" s="1"/>
      <x:c r="L20" s="1"/>
      <x:c r="M20" s="1"/>
      <x:c r="N20" s="1"/>
      <x:c r="O20" s="1"/>
    </x:row>
    <x:row r="21" ht="16.5">
      <x:c r="A21" s="171" t="n">
        <x:v>46432</x:v>
      </x:c>
      <x:c r="B21" s="52" t="str">
        <x:f t="shared" si="0">IF(SUM(C21:F21)=0,"",SUM(C21:F21))</x:f>
      </x:c>
      <x:c r="C21" s="53"/>
      <x:c r="D21" s="54"/>
      <x:c r="E21" s="54"/>
      <x:c r="F21" s="54"/>
      <x:c r="G21" s="1"/>
      <x:c r="H21" s="1"/>
      <x:c r="I21" s="1"/>
      <x:c r="J21" s="1"/>
      <x:c r="K21" s="1"/>
      <x:c r="L21" s="1"/>
      <x:c r="M21" s="1"/>
      <x:c r="N21" s="1"/>
      <x:c r="O21" s="1"/>
    </x:row>
    <x:row r="22" ht="16.5">
      <x:c r="A22" s="171" t="n">
        <x:v>46433</x:v>
      </x:c>
      <x:c r="B22" s="52" t="str">
        <x:f t="shared" si="0">IF(SUM(C22:F22)=0,"",SUM(C22:F22))</x:f>
      </x:c>
      <x:c r="C22" s="53"/>
      <x:c r="D22" s="54"/>
      <x:c r="E22" s="54"/>
      <x:c r="F22" s="54"/>
      <x:c r="G22" s="1"/>
      <x:c r="H22" s="1"/>
      <x:c r="I22" s="1"/>
      <x:c r="J22" s="1"/>
      <x:c r="K22" s="1"/>
      <x:c r="L22" s="1"/>
      <x:c r="M22" s="1"/>
      <x:c r="N22" s="1"/>
      <x:c r="O22" s="1"/>
    </x:row>
    <x:row r="23" ht="16.5">
      <x:c r="A23" s="171" t="n">
        <x:v>46434</x:v>
      </x:c>
      <x:c r="B23" s="52" t="str">
        <x:f t="shared" si="0">IF(SUM(C23:F23)=0,"",SUM(C23:F23))</x:f>
      </x:c>
      <x:c r="C23" s="53"/>
      <x:c r="D23" s="54"/>
      <x:c r="E23" s="54"/>
      <x:c r="F23" s="54"/>
      <x:c r="G23" s="1"/>
      <x:c r="H23" s="1"/>
      <x:c r="I23" s="1"/>
      <x:c r="J23" s="1"/>
      <x:c r="K23" s="1"/>
      <x:c r="L23" s="1"/>
      <x:c r="M23" s="1"/>
      <x:c r="N23" s="1"/>
      <x:c r="O23" s="1"/>
    </x:row>
    <x:row r="24" ht="16.5">
      <x:c r="A24" s="171" t="n">
        <x:v>46435</x:v>
      </x:c>
      <x:c r="B24" s="52" t="str">
        <x:f t="shared" si="0">IF(SUM(C24:F24)=0,"",SUM(C24:F24))</x:f>
      </x:c>
      <x:c r="C24" s="53"/>
      <x:c r="D24" s="54"/>
      <x:c r="E24" s="54"/>
      <x:c r="F24" s="54"/>
      <x:c r="G24" s="1"/>
      <x:c r="H24" s="1"/>
      <x:c r="I24" s="1"/>
      <x:c r="J24" s="1"/>
      <x:c r="K24" s="1"/>
      <x:c r="L24" s="1"/>
      <x:c r="M24" s="1"/>
      <x:c r="N24" s="1"/>
      <x:c r="O24" s="1"/>
    </x:row>
    <x:row r="25" ht="16.5">
      <x:c r="A25" s="171" t="n">
        <x:v>46436</x:v>
      </x:c>
      <x:c r="B25" s="52" t="str">
        <x:f t="shared" si="0">IF(SUM(C25:F25)=0,"",SUM(C25:F25))</x:f>
      </x:c>
      <x:c r="C25" s="53"/>
      <x:c r="D25" s="54"/>
      <x:c r="E25" s="54"/>
      <x:c r="F25" s="54"/>
      <x:c r="G25" s="1"/>
      <x:c r="H25" s="34"/>
      <x:c r="I25" s="34"/>
      <x:c r="J25" s="34"/>
      <x:c r="K25" s="1"/>
      <x:c r="L25" s="1"/>
      <x:c r="M25" s="1"/>
      <x:c r="N25" s="1"/>
      <x:c r="O25" s="1"/>
    </x:row>
    <x:row r="26" ht="16.5">
      <x:c r="A26" s="171" t="n">
        <x:v>46437</x:v>
      </x:c>
      <x:c r="B26" s="52" t="str">
        <x:f t="shared" si="0">IF(SUM(C26:F26)=0,"",SUM(C26:F26))</x:f>
      </x:c>
      <x:c r="C26" s="53"/>
      <x:c r="D26" s="54"/>
      <x:c r="E26" s="54"/>
      <x:c r="F26" s="54"/>
      <x:c r="G26" s="1"/>
      <x:c r="H26" s="33"/>
      <x:c r="I26" s="33"/>
      <x:c r="J26" s="33"/>
      <x:c r="K26" s="1"/>
      <x:c r="L26" s="1"/>
      <x:c r="M26" s="1"/>
      <x:c r="N26" s="1"/>
      <x:c r="O26" s="1"/>
    </x:row>
    <x:row r="27" ht="16.5">
      <x:c r="A27" s="171" t="n">
        <x:v>46438</x:v>
      </x:c>
      <x:c r="B27" s="52" t="str">
        <x:f t="shared" si="0">IF(SUM(C27:F27)=0,"",SUM(C27:F27))</x:f>
      </x:c>
      <x:c r="C27" s="53"/>
      <x:c r="D27" s="54"/>
      <x:c r="E27" s="54"/>
      <x:c r="F27" s="54"/>
      <x:c r="G27" s="1"/>
      <x:c r="H27" s="34"/>
      <x:c r="I27" s="35"/>
      <x:c r="J27" s="36"/>
      <x:c r="K27" s="1"/>
      <x:c r="L27" s="1"/>
      <x:c r="M27" s="1"/>
      <x:c r="N27" s="1"/>
      <x:c r="O27" s="1"/>
    </x:row>
    <x:row r="28" ht="16.5">
      <x:c r="A28" s="171" t="n">
        <x:v>46439</x:v>
      </x:c>
      <x:c r="B28" s="52" t="str">
        <x:f t="shared" si="0">IF(SUM(C28:F28)=0,"",SUM(C28:F28))</x:f>
      </x:c>
      <x:c r="C28" s="53"/>
      <x:c r="D28" s="54"/>
      <x:c r="E28" s="54"/>
      <x:c r="F28" s="54"/>
      <x:c r="G28" s="1"/>
      <x:c r="H28" s="34"/>
      <x:c r="I28" s="37"/>
      <x:c r="J28" s="36"/>
      <x:c r="K28" s="1"/>
      <x:c r="L28" s="1"/>
      <x:c r="M28" s="1"/>
      <x:c r="N28" s="1"/>
      <x:c r="O28" s="1"/>
    </x:row>
    <x:row r="29" ht="16.5">
      <x:c r="A29" s="171" t="n">
        <x:v>46440</x:v>
      </x:c>
      <x:c r="B29" s="52" t="str">
        <x:f t="shared" si="0">IF(SUM(C29:F29)=0,"",SUM(C29:F29))</x:f>
      </x:c>
      <x:c r="C29" s="55"/>
      <x:c r="D29" s="56"/>
      <x:c r="E29" s="56"/>
      <x:c r="F29" s="56"/>
      <x:c r="G29" s="1"/>
      <x:c r="H29" s="1"/>
      <x:c r="I29" s="29"/>
      <x:c r="J29" s="30"/>
      <x:c r="K29" s="1"/>
      <x:c r="L29" s="1"/>
      <x:c r="M29" s="1"/>
      <x:c r="N29" s="1"/>
      <x:c r="O29" s="1"/>
    </x:row>
    <x:row r="30" ht="16.5">
      <x:c r="A30" s="171" t="n">
        <x:v>46441</x:v>
      </x:c>
      <x:c r="B30" s="52" t="str">
        <x:f t="shared" si="0">IF(SUM(C30:F30)=0,"",SUM(C30:F30))</x:f>
      </x:c>
      <x:c r="C30" s="53"/>
      <x:c r="D30" s="54"/>
      <x:c r="E30" s="54"/>
      <x:c r="F30" s="54"/>
      <x:c r="G30" s="1"/>
      <x:c r="H30" s="1"/>
      <x:c r="I30" s="31"/>
      <x:c r="J30" s="30"/>
      <x:c r="K30" s="1"/>
      <x:c r="L30" s="1"/>
      <x:c r="M30" s="1"/>
      <x:c r="N30" s="1"/>
      <x:c r="O30" s="1"/>
    </x:row>
    <x:row r="31" ht="16.5">
      <x:c r="A31" s="171" t="n">
        <x:v>46442</x:v>
      </x:c>
      <x:c r="B31" s="52" t="str">
        <x:f t="shared" si="0">IF(SUM(C31:F31)=0,"",SUM(C31:F31))</x:f>
      </x:c>
      <x:c r="C31" s="53"/>
      <x:c r="D31" s="54"/>
      <x:c r="E31" s="54"/>
      <x:c r="F31" s="54"/>
      <x:c r="G31" s="1"/>
      <x:c r="H31" s="1"/>
      <x:c r="I31" s="29"/>
      <x:c r="J31" s="30"/>
      <x:c r="K31" s="1"/>
      <x:c r="L31" s="1"/>
      <x:c r="M31" s="1"/>
      <x:c r="N31" s="1"/>
      <x:c r="O31" s="1"/>
    </x:row>
    <x:row r="32" ht="16.5">
      <x:c r="A32" s="171" t="n">
        <x:v>46443</x:v>
      </x:c>
      <x:c r="B32" s="52" t="str">
        <x:f t="shared" si="0">IF(SUM(C32:F32)=0,"",SUM(C32:F32))</x:f>
      </x:c>
      <x:c r="C32" s="53"/>
      <x:c r="D32" s="54"/>
      <x:c r="E32" s="54"/>
      <x:c r="F32" s="54"/>
      <x:c r="G32" s="1"/>
      <x:c r="H32" s="1"/>
      <x:c r="I32" s="31"/>
      <x:c r="J32" s="30"/>
      <x:c r="K32" s="1"/>
      <x:c r="L32" s="1"/>
      <x:c r="M32" s="1"/>
      <x:c r="N32" s="1"/>
      <x:c r="O32" s="1"/>
    </x:row>
    <x:row r="33" ht="16.5">
      <x:c r="A33" s="171" t="n">
        <x:v>46444</x:v>
      </x:c>
      <x:c r="B33" s="52" t="str">
        <x:f t="shared" si="0">IF(SUM(C33:F33)=0,"",SUM(C33:F33))</x:f>
      </x:c>
      <x:c r="C33" s="53"/>
      <x:c r="D33" s="54"/>
      <x:c r="E33" s="54"/>
      <x:c r="F33" s="54"/>
      <x:c r="G33" s="1"/>
      <x:c r="H33" s="1"/>
      <x:c r="I33" s="32"/>
      <x:c r="J33" s="30"/>
      <x:c r="K33" s="1"/>
      <x:c r="L33" s="1"/>
      <x:c r="M33" s="1"/>
      <x:c r="N33" s="1"/>
      <x:c r="O33" s="1"/>
    </x:row>
    <x:row r="34" ht="16.5">
      <x:c r="A34" s="171" t="n">
        <x:v>46445</x:v>
      </x:c>
      <x:c r="B34" s="52" t="str">
        <x:f t="shared" si="0">IF(SUM(C34:F34)=0,"",SUM(C34:F34))</x:f>
      </x:c>
      <x:c r="C34" s="53"/>
      <x:c r="D34" s="54"/>
      <x:c r="E34" s="54"/>
      <x:c r="F34" s="54"/>
      <x:c r="G34" s="1"/>
      <x:c r="H34" s="1"/>
      <x:c r="I34" s="1"/>
      <x:c r="J34" s="1"/>
      <x:c r="K34" s="1"/>
      <x:c r="L34" s="1"/>
      <x:c r="M34" s="1"/>
      <x:c r="N34" s="1"/>
      <x:c r="O34" s="1"/>
    </x:row>
    <x:row r="35" ht="16.5">
      <x:c r="A35" s="171" t="n">
        <x:v>46446</x:v>
      </x:c>
      <x:c r="B35" s="52" t="str">
        <x:f t="shared" si="0">IF(SUM(C35:F35)=0,"",SUM(C35:F35))</x:f>
      </x:c>
      <x:c r="C35" s="53"/>
      <x:c r="D35" s="54"/>
      <x:c r="E35" s="54"/>
      <x:c r="F35" s="54"/>
      <x:c r="G35" s="1"/>
      <x:c r="H35" s="1"/>
      <x:c r="I35" s="1"/>
      <x:c r="J35" s="1"/>
      <x:c r="K35" s="1"/>
      <x:c r="L35" s="1"/>
      <x:c r="M35" s="1"/>
      <x:c r="N35" s="1"/>
      <x:c r="O35" s="1"/>
    </x:row>
    <x:row r="36" ht="16.5">
      <x:c r="A36" s="171"/>
      <x:c r="B36" s="52" t="str">
        <x:f>IF(SUM(C36:F36)=0,"",SUM(C36:F36))</x:f>
      </x:c>
      <x:c r="C36" s="53"/>
      <x:c r="D36" s="54"/>
      <x:c r="E36" s="54"/>
      <x:c r="F36" s="54"/>
      <x:c r="G36" s="1"/>
      <x:c r="H36" s="1"/>
      <x:c r="I36" s="1"/>
      <x:c r="J36" s="1"/>
      <x:c r="K36" s="1"/>
      <x:c r="L36" s="1"/>
      <x:c r="M36" s="1"/>
      <x:c r="N36" s="1"/>
      <x:c r="O36" s="1"/>
    </x:row>
    <x:row r="37" ht="16.5">
      <x:c r="A37" s="171"/>
      <x:c r="B37" s="52" t="str">
        <x:f>IF(SUM(C37:F37)=0,"",SUM(C37:F37))</x:f>
      </x:c>
      <x:c r="C37" s="53"/>
      <x:c r="D37" s="54"/>
      <x:c r="E37" s="54"/>
      <x:c r="F37" s="54"/>
      <x:c r="G37" s="1"/>
      <x:c r="H37" s="1"/>
      <x:c r="I37" s="1"/>
      <x:c r="J37" s="1"/>
      <x:c r="K37" s="1"/>
      <x:c r="L37" s="1"/>
      <x:c r="M37" s="1"/>
      <x:c r="N37" s="1"/>
      <x:c r="O37" s="1"/>
    </x:row>
    <x:row r="38" ht="16.5">
      <x:c r="A38" s="171"/>
      <x:c r="B38" s="52" t="str">
        <x:f>IF(SUM(C38:F38)=0,"",SUM(C38:F38))</x:f>
      </x:c>
      <x:c r="C38" s="53"/>
      <x:c r="D38" s="54"/>
      <x:c r="E38" s="54"/>
      <x:c r="F38" s="54"/>
      <x:c r="G38" s="1"/>
      <x:c r="H38" s="1"/>
      <x:c r="I38" s="1"/>
      <x:c r="J38" s="1"/>
      <x:c r="K38" s="1"/>
      <x:c r="L38" s="1"/>
      <x:c r="M38" s="1"/>
      <x:c r="N38" s="1"/>
      <x:c r="O38" s="1"/>
    </x:row>
    <x:row r="39" ht="16.5">
      <x:c r="A39" s="51"/>
      <x:c r="B39" s="57" t="str">
        <x:f>IF(SUM(B8:B38)=0,"",SUM(B8:B38))</x:f>
      </x:c>
      <x:c r="C39" s="58" t="str">
        <x:f>IF(SUM(C8:C38)=0,"",SUM(C8:C38))</x:f>
      </x:c>
      <x:c r="D39" s="59" t="str">
        <x:f>IF(SUM(D8:D38)=0,"",SUM(D8:D38))</x:f>
      </x:c>
      <x:c r="E39" s="59" t="str">
        <x:f>IF(SUM(E8:E38)=0,"",SUM(E8:E38))</x:f>
      </x:c>
      <x:c r="F39" s="59" t="str">
        <x:f>IF(SUM(F8:F38)=0,"",SUM(F8:F38))</x:f>
      </x:c>
      <x:c r="G39" s="1"/>
      <x:c r="H39" s="27"/>
      <x:c r="I39" s="1"/>
      <x:c r="J39" s="1"/>
      <x:c r="K39" s="1"/>
      <x:c r="L39" s="1"/>
      <x:c r="M39" s="1"/>
      <x:c r="N39" s="1"/>
      <x:c r="O39" s="1"/>
    </x:row>
    <x:row r="40" ht="16.5">
      <x:c r="B40" s="11"/>
      <x:c r="C40" s="1"/>
      <x:c r="D40" s="19"/>
      <x:c r="E40" s="19"/>
      <x:c r="F40" s="19"/>
      <x:c r="G40" s="1"/>
      <x:c r="H40" s="1"/>
      <x:c r="I40" s="1"/>
      <x:c r="J40" s="1"/>
      <x:c r="K40" s="1"/>
      <x:c r="L40" s="1"/>
      <x:c r="M40" s="1"/>
      <x:c r="N40" s="1"/>
      <x:c r="O40" s="1"/>
    </x:row>
    <x:row r="41" ht="16.5">
      <x:c r="B41" s="11"/>
      <x:c r="C41" s="1"/>
      <x:c r="D41" s="19"/>
      <x:c r="E41" s="19"/>
      <x:c r="F41" s="19"/>
      <x:c r="G41" s="1"/>
      <x:c r="H41" s="1"/>
      <x:c r="I41" s="1"/>
      <x:c r="J41" s="1"/>
      <x:c r="K41" s="1"/>
      <x:c r="L41" s="1"/>
      <x:c r="M41" s="1"/>
      <x:c r="N41" s="1"/>
      <x:c r="O41" s="1"/>
    </x:row>
    <x:row r="42" ht="16.5">
      <x:c r="B42" s="11"/>
      <x:c r="C42" s="27"/>
      <x:c r="D42" s="19"/>
      <x:c r="E42" s="19"/>
      <x:c r="F42" s="19"/>
      <x:c r="G42" s="1"/>
      <x:c r="H42" s="1"/>
      <x:c r="I42" s="1"/>
      <x:c r="J42" s="1"/>
      <x:c r="K42" s="1"/>
      <x:c r="L42" s="1"/>
      <x:c r="M42" s="1"/>
      <x:c r="N42" s="1"/>
      <x:c r="O42" s="1"/>
    </x:row>
    <x:row r="43" ht="16.5">
      <x:c r="B43" s="11"/>
      <x:c r="C43" s="27"/>
      <x:c r="D43" s="19"/>
      <x:c r="E43" s="19"/>
      <x:c r="F43" s="19"/>
      <x:c r="G43" s="1"/>
      <x:c r="H43" s="1"/>
      <x:c r="I43" s="1"/>
      <x:c r="J43" s="1"/>
      <x:c r="K43" s="1"/>
      <x:c r="L43" s="1"/>
      <x:c r="M43" s="1"/>
      <x:c r="N43" s="1"/>
      <x:c r="O43" s="1"/>
    </x:row>
    <x:row r="44" ht="16.5">
      <x:c r="B44" s="11"/>
      <x:c r="C44" s="27"/>
      <x:c r="D44" s="19"/>
      <x:c r="E44" s="19"/>
      <x:c r="F44" s="19"/>
      <x:c r="G44" s="1"/>
      <x:c r="H44" s="1"/>
      <x:c r="I44" s="1"/>
      <x:c r="J44" s="1"/>
      <x:c r="K44" s="1"/>
      <x:c r="L44" s="1"/>
      <x:c r="M44" s="1"/>
      <x:c r="N44" s="1"/>
      <x:c r="O44" s="1"/>
    </x:row>
    <x:row r="45" ht="16.5">
      <x:c r="B45" s="11"/>
      <x:c r="C45" s="1"/>
      <x:c r="D45" s="19"/>
      <x:c r="E45" s="19"/>
      <x:c r="F45" s="19"/>
      <x:c r="G45" s="1"/>
      <x:c r="H45" s="1"/>
      <x:c r="I45" s="1"/>
      <x:c r="J45" s="1"/>
      <x:c r="K45" s="1"/>
      <x:c r="L45" s="1"/>
      <x:c r="M45" s="1"/>
      <x:c r="N45" s="1"/>
      <x:c r="O45" s="1"/>
    </x:row>
    <x:row r="46" ht="16.5">
      <x:c r="B46" s="11"/>
      <x:c r="C46" s="1"/>
      <x:c r="D46" s="19"/>
      <x:c r="E46" s="19"/>
      <x:c r="F46" s="19"/>
      <x:c r="G46" s="1"/>
      <x:c r="H46" s="1"/>
      <x:c r="I46" s="1"/>
      <x:c r="J46" s="1"/>
      <x:c r="K46" s="1"/>
      <x:c r="L46" s="1"/>
      <x:c r="M46" s="1"/>
      <x:c r="N46" s="1"/>
      <x:c r="O46" s="1"/>
    </x:row>
    <x:row r="47" ht="16.5">
      <x:c r="B47" s="11"/>
      <x:c r="C47" s="1"/>
      <x:c r="D47" s="19"/>
      <x:c r="E47" s="19"/>
      <x:c r="F47" s="19"/>
      <x:c r="G47" s="1"/>
      <x:c r="H47" s="1"/>
      <x:c r="I47" s="1"/>
      <x:c r="J47" s="1"/>
      <x:c r="K47" s="1"/>
      <x:c r="L47" s="1"/>
      <x:c r="M47" s="1"/>
      <x:c r="N47" s="1"/>
      <x:c r="O47" s="1"/>
    </x:row>
    <x:row r="48" ht="16.5">
      <x:c r="B48" s="11"/>
      <x:c r="C48" s="1"/>
      <x:c r="D48" s="19"/>
      <x:c r="E48" s="19"/>
      <x:c r="F48" s="19"/>
      <x:c r="G48" s="1"/>
      <x:c r="H48" s="1"/>
      <x:c r="I48" s="1"/>
      <x:c r="J48" s="1"/>
      <x:c r="K48" s="1"/>
      <x:c r="L48" s="1"/>
      <x:c r="M48" s="1"/>
      <x:c r="N48" s="1"/>
      <x:c r="O48" s="1"/>
    </x:row>
    <x:row r="49" ht="16.5">
      <x:c r="A49"/>
      <x:c r="B49" s="11"/>
      <x:c r="C49" s="1"/>
      <x:c r="D49" s="19"/>
      <x:c r="E49" s="19"/>
      <x:c r="F49" s="19"/>
      <x:c r="G49" s="1"/>
      <x:c r="H49" s="1"/>
      <x:c r="I49" s="1"/>
      <x:c r="J49" s="1"/>
      <x:c r="K49" s="1"/>
      <x:c r="L49" s="1"/>
      <x:c r="M49" s="1"/>
      <x:c r="N49" s="1"/>
      <x:c r="O49" s="1"/>
    </x:row>
    <x:row r="50" ht="16.5">
      <x:c r="A50"/>
      <x:c r="B50" s="11"/>
      <x:c r="C50" s="1"/>
      <x:c r="D50" s="19"/>
      <x:c r="E50" s="19"/>
      <x:c r="F50" s="19"/>
      <x:c r="G50" s="1"/>
      <x:c r="H50" s="1"/>
      <x:c r="I50" s="1"/>
      <x:c r="J50" s="1"/>
      <x:c r="K50" s="1"/>
      <x:c r="L50" s="1"/>
      <x:c r="M50" s="1"/>
      <x:c r="N50" s="1"/>
      <x:c r="O50" s="1"/>
    </x:row>
    <x:row r="51" ht="16.5">
      <x:c r="A51"/>
      <x:c r="B51" s="11"/>
      <x:c r="C51" s="1"/>
      <x:c r="D51" s="19"/>
      <x:c r="E51" s="19"/>
      <x:c r="F51" s="19"/>
      <x:c r="G51" s="1"/>
      <x:c r="H51" s="1"/>
      <x:c r="I51" s="1"/>
      <x:c r="J51" s="1"/>
      <x:c r="K51" s="1"/>
      <x:c r="L51" s="1"/>
      <x:c r="M51" s="1"/>
      <x:c r="N51" s="1"/>
      <x:c r="O51" s="1"/>
    </x:row>
    <x:row r="52" ht="16.5">
      <x:c r="A52"/>
      <x:c r="B52" s="11"/>
      <x:c r="C52" s="1"/>
      <x:c r="D52" s="19"/>
      <x:c r="E52" s="19"/>
      <x:c r="F52" s="19"/>
      <x:c r="G52" s="1"/>
      <x:c r="H52" s="1"/>
      <x:c r="I52" s="1"/>
      <x:c r="J52" s="1"/>
      <x:c r="K52" s="1"/>
      <x:c r="L52" s="1"/>
      <x:c r="M52" s="1"/>
      <x:c r="N52" s="1"/>
      <x:c r="O52" s="1"/>
    </x:row>
    <x:row r="53" ht="16.5">
      <x:c r="A53"/>
      <x:c r="B53" s="11"/>
      <x:c r="C53" s="1"/>
      <x:c r="D53" s="19"/>
      <x:c r="E53" s="19"/>
      <x:c r="F53" s="19"/>
      <x:c r="G53" s="1"/>
      <x:c r="H53" s="1"/>
      <x:c r="I53" s="1"/>
      <x:c r="J53" s="1"/>
      <x:c r="K53" s="1"/>
      <x:c r="L53" s="1"/>
      <x:c r="M53" s="1"/>
      <x:c r="N53" s="1"/>
      <x:c r="O53" s="1"/>
    </x:row>
    <x:row r="54" ht="16.5">
      <x:c r="A54"/>
      <x:c r="B54" s="11"/>
      <x:c r="C54" s="1"/>
      <x:c r="D54" s="19"/>
      <x:c r="E54" s="19"/>
      <x:c r="F54" s="19"/>
      <x:c r="G54" s="1"/>
      <x:c r="H54" s="1"/>
      <x:c r="I54" s="1"/>
      <x:c r="J54" s="1"/>
      <x:c r="K54" s="1"/>
      <x:c r="L54" s="1"/>
      <x:c r="M54" s="1"/>
      <x:c r="N54" s="1"/>
      <x:c r="O54" s="1"/>
    </x:row>
    <x:row r="55" ht="16.5">
      <x:c r="A55"/>
      <x:c r="B55" s="11"/>
      <x:c r="C55" s="1"/>
      <x:c r="D55" s="19"/>
      <x:c r="E55" s="19"/>
      <x:c r="F55" s="19"/>
      <x:c r="G55" s="1"/>
      <x:c r="H55" s="1"/>
      <x:c r="I55" s="1"/>
      <x:c r="J55" s="1"/>
      <x:c r="K55" s="1"/>
      <x:c r="L55" s="1"/>
      <x:c r="M55" s="1"/>
      <x:c r="N55" s="1"/>
      <x:c r="O55" s="1"/>
    </x:row>
    <x:row r="56" ht="16.5">
      <x:c r="A56"/>
      <x:c r="B56" s="11"/>
      <x:c r="C56" s="1"/>
      <x:c r="D56" s="19"/>
      <x:c r="E56" s="19"/>
      <x:c r="F56" s="19"/>
      <x:c r="G56" s="1"/>
      <x:c r="H56" s="1"/>
      <x:c r="I56" s="1"/>
      <x:c r="J56" s="1"/>
      <x:c r="K56" s="1"/>
      <x:c r="L56" s="1"/>
      <x:c r="M56" s="1"/>
      <x:c r="N56" s="1"/>
      <x:c r="O56" s="1"/>
    </x:row>
    <x:row r="57" ht="16.5">
      <x:c r="A57"/>
      <x:c r="B57" s="11"/>
      <x:c r="C57" s="1"/>
      <x:c r="D57" s="19"/>
      <x:c r="E57" s="19"/>
      <x:c r="F57" s="19"/>
      <x:c r="G57" s="1"/>
      <x:c r="H57" s="1"/>
      <x:c r="I57" s="1"/>
      <x:c r="J57" s="1"/>
      <x:c r="K57" s="1"/>
      <x:c r="L57" s="1"/>
      <x:c r="M57" s="1"/>
      <x:c r="N57" s="1"/>
      <x:c r="O57" s="1"/>
    </x:row>
    <x:row r="58" ht="16.5">
      <x:c r="A58"/>
      <x:c r="B58" s="11"/>
      <x:c r="C58" s="1"/>
      <x:c r="D58" s="19"/>
      <x:c r="E58" s="19"/>
      <x:c r="F58" s="19"/>
      <x:c r="G58" s="1"/>
      <x:c r="H58" s="1"/>
      <x:c r="I58" s="1"/>
      <x:c r="J58" s="1"/>
      <x:c r="K58" s="1"/>
      <x:c r="L58" s="1"/>
      <x:c r="M58" s="1"/>
      <x:c r="N58" s="1"/>
      <x:c r="O58" s="1"/>
    </x:row>
    <x:row r="59" ht="16.5">
      <x:c r="A59"/>
      <x:c r="B59" s="11"/>
      <x:c r="C59" s="1"/>
      <x:c r="D59" s="19"/>
      <x:c r="E59" s="19"/>
      <x:c r="F59" s="19"/>
      <x:c r="G59" s="1"/>
      <x:c r="H59" s="1"/>
      <x:c r="I59" s="1"/>
      <x:c r="J59" s="1"/>
      <x:c r="K59" s="1"/>
      <x:c r="L59" s="1"/>
      <x:c r="M59" s="1"/>
      <x:c r="N59" s="1"/>
      <x:c r="O59" s="1"/>
    </x:row>
    <x:row r="60" ht="16.5">
      <x:c r="A60"/>
      <x:c r="B60" s="11"/>
      <x:c r="C60" s="1"/>
      <x:c r="D60" s="19"/>
      <x:c r="E60" s="19"/>
      <x:c r="F60" s="19"/>
      <x:c r="G60" s="1"/>
      <x:c r="H60" s="1"/>
      <x:c r="I60" s="1"/>
      <x:c r="J60" s="1"/>
      <x:c r="K60" s="1"/>
      <x:c r="L60" s="1"/>
      <x:c r="M60" s="1"/>
      <x:c r="N60" s="1"/>
      <x:c r="O60" s="1"/>
    </x:row>
    <x:row r="61" ht="16.5">
      <x:c r="A61"/>
      <x:c r="B61" s="11"/>
      <x:c r="C61" s="1"/>
      <x:c r="D61" s="19"/>
      <x:c r="E61" s="19"/>
      <x:c r="F61" s="19"/>
      <x:c r="G61" s="1"/>
      <x:c r="H61" s="1"/>
      <x:c r="I61" s="1"/>
      <x:c r="J61" s="1"/>
      <x:c r="K61" s="1"/>
      <x:c r="L61" s="1"/>
      <x:c r="M61" s="1"/>
      <x:c r="N61" s="1"/>
      <x:c r="O61" s="1"/>
    </x:row>
    <x:row r="62" ht="16.5">
      <x:c r="A62"/>
      <x:c r="B62" s="11"/>
      <x:c r="C62" s="1"/>
      <x:c r="D62" s="19"/>
      <x:c r="E62" s="19"/>
      <x:c r="F62" s="19"/>
      <x:c r="G62" s="1"/>
      <x:c r="H62" s="1"/>
      <x:c r="I62" s="1"/>
      <x:c r="J62" s="1"/>
      <x:c r="K62" s="1"/>
      <x:c r="L62" s="1"/>
      <x:c r="M62" s="1"/>
      <x:c r="N62" s="1"/>
      <x:c r="O62" s="1"/>
    </x:row>
    <x:row r="63" ht="16.5">
      <x:c r="A63"/>
      <x:c r="B63" s="11"/>
      <x:c r="C63" s="1"/>
      <x:c r="D63" s="19"/>
      <x:c r="E63" s="19"/>
      <x:c r="F63" s="19"/>
      <x:c r="G63" s="1"/>
      <x:c r="H63" s="1"/>
      <x:c r="I63" s="1"/>
      <x:c r="J63" s="1"/>
      <x:c r="K63" s="1"/>
      <x:c r="L63" s="1"/>
      <x:c r="M63" s="1"/>
      <x:c r="N63" s="1"/>
      <x:c r="O63" s="1"/>
    </x:row>
    <x:row r="64" ht="16.5">
      <x:c r="A64"/>
      <x:c r="B64" s="11"/>
      <x:c r="C64" s="1"/>
      <x:c r="D64" s="19"/>
      <x:c r="E64" s="19"/>
      <x:c r="F64" s="19"/>
      <x:c r="G64" s="1"/>
      <x:c r="H64" s="1"/>
      <x:c r="I64" s="1"/>
      <x:c r="J64" s="1"/>
      <x:c r="K64" s="1"/>
      <x:c r="L64" s="1"/>
      <x:c r="M64" s="1"/>
      <x:c r="N64" s="1"/>
      <x:c r="O64" s="1"/>
    </x:row>
    <x:row r="65" ht="16.5">
      <x:c r="A65"/>
      <x:c r="B65" s="11"/>
      <x:c r="C65" s="1"/>
      <x:c r="D65" s="19"/>
      <x:c r="E65" s="19"/>
      <x:c r="F65" s="19"/>
      <x:c r="G65" s="1"/>
      <x:c r="H65" s="1"/>
      <x:c r="I65" s="1"/>
      <x:c r="J65" s="1"/>
      <x:c r="K65" s="1"/>
      <x:c r="L65" s="1"/>
      <x:c r="M65" s="1"/>
      <x:c r="N65" s="1"/>
      <x:c r="O65" s="1"/>
    </x:row>
    <x:row r="66" ht="16.5">
      <x:c r="A66"/>
      <x:c r="B66" s="11"/>
      <x:c r="C66" s="1"/>
      <x:c r="D66" s="19"/>
      <x:c r="E66" s="19"/>
      <x:c r="F66" s="19"/>
      <x:c r="G66" s="1"/>
      <x:c r="H66" s="1"/>
      <x:c r="I66" s="1"/>
      <x:c r="J66" s="1"/>
      <x:c r="K66" s="1"/>
      <x:c r="L66" s="1"/>
      <x:c r="M66" s="1"/>
      <x:c r="N66" s="1"/>
      <x:c r="O66" s="1"/>
    </x:row>
    <x:row r="67" ht="16.5">
      <x:c r="A67"/>
      <x:c r="B67" s="11"/>
      <x:c r="C67" s="1"/>
      <x:c r="D67" s="19"/>
      <x:c r="E67" s="19"/>
      <x:c r="F67" s="19"/>
      <x:c r="G67" s="1"/>
      <x:c r="H67" s="1"/>
      <x:c r="I67" s="1"/>
      <x:c r="J67" s="1"/>
      <x:c r="K67" s="1"/>
      <x:c r="L67" s="1"/>
      <x:c r="M67" s="1"/>
      <x:c r="N67" s="1"/>
      <x:c r="O67" s="1"/>
    </x:row>
    <x:row r="68" ht="16.5">
      <x:c r="A68"/>
      <x:c r="B68" s="11"/>
      <x:c r="C68" s="1"/>
      <x:c r="D68" s="19"/>
      <x:c r="E68" s="19"/>
      <x:c r="F68" s="19"/>
      <x:c r="G68" s="1"/>
      <x:c r="H68" s="1"/>
      <x:c r="I68" s="1"/>
      <x:c r="J68" s="1"/>
      <x:c r="K68" s="1"/>
      <x:c r="L68" s="1"/>
      <x:c r="M68" s="1"/>
      <x:c r="N68" s="1"/>
      <x:c r="O68" s="1"/>
    </x:row>
    <x:row r="69" ht="16.5">
      <x:c r="A69"/>
      <x:c r="B69" s="11"/>
      <x:c r="C69" s="1"/>
      <x:c r="D69" s="19"/>
      <x:c r="E69" s="19"/>
      <x:c r="F69" s="19"/>
      <x:c r="G69" s="1"/>
      <x:c r="H69" s="1"/>
      <x:c r="I69" s="1"/>
      <x:c r="J69" s="1"/>
      <x:c r="K69" s="1"/>
      <x:c r="L69" s="1"/>
      <x:c r="M69" s="1"/>
      <x:c r="N69" s="1"/>
      <x:c r="O69" s="1"/>
    </x:row>
    <x:row r="70" ht="16.5">
      <x:c r="A70"/>
      <x:c r="B70" s="11"/>
      <x:c r="C70" s="1"/>
      <x:c r="D70" s="19"/>
      <x:c r="E70" s="19"/>
      <x:c r="F70" s="19"/>
      <x:c r="G70" s="1"/>
      <x:c r="H70" s="1"/>
      <x:c r="I70" s="1"/>
      <x:c r="J70" s="1"/>
      <x:c r="K70" s="1"/>
      <x:c r="L70" s="1"/>
      <x:c r="M70" s="1"/>
      <x:c r="N70" s="1"/>
      <x:c r="O70" s="1"/>
    </x:row>
    <x:row r="71" ht="16.5">
      <x:c r="A71"/>
      <x:c r="B71" s="11"/>
      <x:c r="C71" s="1"/>
      <x:c r="D71" s="19"/>
      <x:c r="E71" s="19"/>
      <x:c r="F71" s="19"/>
      <x:c r="G71" s="1"/>
      <x:c r="H71" s="1"/>
      <x:c r="I71" s="1"/>
      <x:c r="J71" s="1"/>
      <x:c r="K71" s="1"/>
      <x:c r="L71" s="1"/>
      <x:c r="M71" s="1"/>
      <x:c r="N71" s="1"/>
      <x:c r="O71" s="1"/>
    </x:row>
    <x:row r="72" ht="16.5">
      <x:c r="A72"/>
      <x:c r="B72" s="11"/>
      <x:c r="C72" s="1"/>
      <x:c r="D72" s="19"/>
      <x:c r="E72" s="19"/>
      <x:c r="F72" s="19"/>
      <x:c r="G72" s="1"/>
      <x:c r="H72" s="1"/>
      <x:c r="I72" s="1"/>
      <x:c r="J72" s="1"/>
      <x:c r="K72" s="1"/>
      <x:c r="L72" s="1"/>
      <x:c r="M72" s="1"/>
      <x:c r="N72" s="1"/>
      <x:c r="O72" s="1"/>
    </x:row>
    <x:row r="73" ht="16.5">
      <x:c r="A73"/>
      <x:c r="B73" s="11"/>
      <x:c r="C73" s="1"/>
      <x:c r="D73" s="19"/>
      <x:c r="E73" s="19"/>
      <x:c r="F73" s="19"/>
      <x:c r="G73" s="1"/>
      <x:c r="H73" s="1"/>
      <x:c r="I73" s="1"/>
      <x:c r="J73" s="1"/>
      <x:c r="K73" s="1"/>
      <x:c r="L73" s="1"/>
      <x:c r="M73" s="1"/>
      <x:c r="N73" s="1"/>
      <x:c r="O73" s="1"/>
    </x:row>
    <x:row r="74" ht="16.5">
      <x:c r="A74"/>
      <x:c r="B74" s="11"/>
      <x:c r="C74" s="1"/>
      <x:c r="D74" s="19"/>
      <x:c r="E74" s="19"/>
      <x:c r="F74" s="19"/>
      <x:c r="G74" s="1"/>
      <x:c r="H74" s="1"/>
      <x:c r="I74" s="1"/>
      <x:c r="J74" s="1"/>
      <x:c r="K74" s="1"/>
      <x:c r="L74" s="1"/>
      <x:c r="M74" s="1"/>
      <x:c r="N74" s="1"/>
      <x:c r="O74" s="1"/>
    </x:row>
    <x:row r="75" ht="16.5">
      <x:c r="A75"/>
      <x:c r="B75" s="11"/>
      <x:c r="C75" s="1"/>
      <x:c r="D75" s="19"/>
      <x:c r="E75" s="19"/>
      <x:c r="F75" s="19"/>
      <x:c r="G75" s="1"/>
      <x:c r="H75" s="1"/>
      <x:c r="I75" s="1"/>
      <x:c r="J75" s="1"/>
      <x:c r="K75" s="1"/>
      <x:c r="L75" s="1"/>
      <x:c r="M75" s="1"/>
      <x:c r="N75" s="1"/>
      <x:c r="O75" s="1"/>
    </x:row>
    <x:row r="76" ht="16.5">
      <x:c r="A76"/>
      <x:c r="B76" s="11"/>
      <x:c r="C76" s="1"/>
      <x:c r="D76" s="19"/>
      <x:c r="E76" s="19"/>
      <x:c r="F76" s="19"/>
      <x:c r="G76" s="1"/>
      <x:c r="H76" s="1"/>
      <x:c r="I76" s="1"/>
      <x:c r="J76" s="1"/>
      <x:c r="K76" s="1"/>
      <x:c r="L76" s="1"/>
      <x:c r="M76" s="1"/>
      <x:c r="N76" s="1"/>
      <x:c r="O76" s="1"/>
    </x:row>
    <x:row r="77" ht="16.5">
      <x:c r="A77"/>
      <x:c r="B77" s="11"/>
      <x:c r="C77" s="1"/>
      <x:c r="D77" s="19"/>
      <x:c r="E77" s="19"/>
      <x:c r="F77" s="19"/>
      <x:c r="G77" s="1"/>
      <x:c r="H77" s="1"/>
      <x:c r="I77" s="1"/>
      <x:c r="J77" s="1"/>
      <x:c r="K77" s="1"/>
      <x:c r="L77" s="1"/>
      <x:c r="M77" s="1"/>
      <x:c r="N77" s="1"/>
      <x:c r="O77" s="1"/>
    </x:row>
  </x:sheetData>
  <x:mergeCells>
    <x:mergeCell ref="H5:J5"/>
  </x:mergeCells>
  <x:pageMargins left="0.7" right="0.7" top="0.75" bottom="0.75" header="0.3" footer="0.3"/>
  <x:drawing xmlns:r="http://schemas.openxmlformats.org/officeDocument/2006/relationships" r:id="R0991f08cf7354e80"/>
</x:worksheet>
</file>

<file path=xl/worksheets/sheet38.xml><?xml version="1.0" encoding="utf-8"?>
<x:worksheet xmlns:x="http://schemas.openxmlformats.org/spreadsheetml/2006/main">
  <x:sheetPr>
    <x:tabColor theme="9" tint="-0.24998"/>
  </x:sheetPr>
  <x:sheetFormatPr defaultRowHeight="15"/>
  <x:cols>
    <x:col min="1" max="1" width="16.42578125" customWidth="1"/>
    <x:col min="2" max="2" width="15.140625" customWidth="1"/>
  </x:cols>
  <x:sheetData>
    <x:row r="1" ht="58.5" customHeight="1">
      <x:c r="A1" s="149" t="s">
        <x:v>34</x:v>
      </x:c>
      <x:c r="B1" s="150"/>
      <x:c r="C1" s="150"/>
      <x:c r="D1" s="150"/>
      <x:c r="E1" s="150"/>
      <x:c r="F1" s="150"/>
      <x:c r="G1" s="150"/>
      <x:c r="H1" s="150"/>
      <x:c r="I1" s="150"/>
      <x:c r="J1" s="150"/>
      <x:c r="K1" s="150"/>
      <x:c r="L1" s="150"/>
      <x:c r="M1" s="150"/>
      <x:c r="N1" s="150"/>
      <x:c r="O1" s="150"/>
      <x:c r="P1" s="150"/>
      <x:c r="Q1" s="150"/>
      <x:c r="R1" s="150"/>
      <x:c r="S1" s="150"/>
      <x:c r="T1" s="150"/>
    </x:row>
    <x:row r="2" ht="42" customHeight="1">
      <x:c r="A2"/>
      <x:c r="B2"/>
      <x:c r="C2"/>
    </x:row>
    <x:row r="3" ht="22.5" customHeight="1">
      <x:c r="A3" s="144" t="s">
        <x:v>35</x:v>
      </x:c>
      <x:c r="B3" s="145"/>
      <x:c r="C3" s="146"/>
    </x:row>
    <x:row r="4" ht="17.25">
      <x:c r="A4" s="44"/>
      <x:c r="B4" s="45"/>
      <x:c r="C4" s="46"/>
    </x:row>
    <x:row r="5" ht="17.25">
      <x:c r="A5" s="71" t="s">
        <x:v>36</x:v>
      </x:c>
      <x:c r="B5" s="72" t="str">
        <x:f>IF('SHOP FEBRUARY 2027 (12)'!B40="","",'SHOP FEBRUARY 2027 (12)'!B40)</x:f>
      </x:c>
      <x:c r="C5" s="47" t="str">
        <x:f>IFERROR(B5/B7,"")</x:f>
      </x:c>
    </x:row>
    <x:row r="6" ht="18">
      <x:c r="A6" s="73" t="s">
        <x:v>37</x:v>
      </x:c>
      <x:c r="B6" s="74" t="str">
        <x:f>IF('THIRD PARTY FEBRUARY 2027 (12)'!B39="","",'THIRD PARTY FEBRUARY 2027 (12)'!B39)</x:f>
      </x:c>
      <x:c r="C6" s="47" t="str">
        <x:f>IFERROR(B6/B7,"")</x:f>
      </x:c>
    </x:row>
    <x:row r="7" ht="16.5">
      <x:c r="A7" s="43"/>
      <x:c r="B7" s="42" t="str">
        <x:f>IF(SUM(B5:B6)=0,"",SUM(B5:B6))</x:f>
      </x:c>
      <x:c r="C7" s="48" t="str">
        <x:f>IF(SUM(C5:C6)=0,"",SUM(C5:C6))</x:f>
      </x:c>
    </x:row>
  </x:sheetData>
  <x:mergeCells>
    <x:mergeCell ref="A3:C3"/>
    <x:mergeCell ref="A1:T1"/>
  </x:mergeCells>
  <x:pageMargins left="0.7" right="0.7" top="0.75" bottom="0.75" header="0.3" footer="0.3"/>
  <x:drawing xmlns:r="http://schemas.openxmlformats.org/officeDocument/2006/relationships" r:id="R81d88953ba404dfd"/>
</x:worksheet>
</file>

<file path=xl/worksheets/sheet39.xml><?xml version="1.0" encoding="utf-8"?>
<x:worksheet xmlns:x="http://schemas.openxmlformats.org/spreadsheetml/2006/main">
  <x:sheetPr>
    <x:tabColor rgb="FFC00000"/>
  </x:sheetPr>
  <x:sheetFormatPr defaultRowHeight="15"/>
  <x:cols>
    <x:col min="2" max="2" width="10.42578125" customWidth="1"/>
    <x:col min="15" max="15" width="10.28515625" customWidth="1"/>
    <x:col min="16" max="16" width="10.28515625" customWidth="1"/>
    <x:col min="21" max="21" width="9.42578125" customWidth="1"/>
    <x:col min="26" max="26" width="10.28515625" customWidth="1"/>
    <x:col min="27" max="27" width="18.42578125" customWidth="1"/>
  </x:cols>
  <x:sheetData>
    <x:row r="1">
      <x:c r="A1"/>
      <x:c r="B1"/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  <x:c r="AA1"/>
    </x:row>
    <x:row r="2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</x:row>
    <x:row r="4" ht="52.5" customHeight="1">
      <x:c r="A4"/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</x:row>
    <x:row r="5" ht="21">
      <x:c r="A5" s="152" t="str">
        <x:v>RETAIL &amp; PRINT</x:v>
      </x:c>
      <x:c r="B5" s="152"/>
      <x:c r="C5" s="152"/>
      <x:c r="D5" s="152"/>
      <x:c r="E5" s="152"/>
      <x:c r="F5" s="152"/>
      <x:c r="G5" s="152"/>
      <x:c r="H5" s="152"/>
      <x:c r="I5" s="152"/>
      <x:c r="J5" s="152"/>
      <x:c r="K5" s="152"/>
      <x:c r="L5" s="152"/>
      <x:c r="M5" s="152"/>
      <x:c r="N5" s="152"/>
      <x:c r="O5" s="152"/>
      <x:c r="P5" s="152"/>
      <x:c r="Q5" s="152"/>
      <x:c r="R5" s="152"/>
      <x:c r="S5" s="152"/>
      <x:c r="T5" s="152"/>
      <x:c r="U5" s="152"/>
      <x:c r="V5" s="152"/>
      <x:c r="W5" s="152"/>
      <x:c r="X5" s="152"/>
      <x:c r="Y5" s="152"/>
      <x:c r="Z5" s="152"/>
      <x:c r="AA5"/>
    </x:row>
    <x:row r="6">
      <x:c r="A6" s="153" t="str">
        <x:v>2026 - 2027</x:v>
      </x:c>
      <x:c r="B6" s="153"/>
      <x:c r="C6" s="153"/>
      <x:c r="D6" s="153"/>
      <x:c r="E6" s="153"/>
      <x:c r="F6" s="153"/>
      <x:c r="G6" s="153"/>
      <x:c r="H6" s="153"/>
      <x:c r="I6" s="153"/>
      <x:c r="J6" s="153"/>
      <x:c r="K6" s="153"/>
      <x:c r="L6" s="153"/>
      <x:c r="M6" s="153"/>
      <x:c r="N6" s="153"/>
      <x:c r="O6" s="153"/>
      <x:c r="P6" s="153"/>
      <x:c r="Q6" s="153"/>
      <x:c r="R6" s="153"/>
      <x:c r="S6" s="153"/>
      <x:c r="T6" s="153"/>
      <x:c r="U6" s="153"/>
      <x:c r="V6" s="153"/>
      <x:c r="W6" s="153"/>
      <x:c r="X6" s="153"/>
      <x:c r="Y6" s="153"/>
      <x:c r="Z6" s="153"/>
      <x:c r="AA6"/>
    </x:row>
    <x:row r="7">
      <x:c r="A7" s="109"/>
      <x:c r="B7" s="109"/>
      <x:c r="C7" s="109"/>
      <x:c r="D7" s="109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  <x:c r="AA7"/>
    </x:row>
    <x:row r="8">
      <x:c r="A8" s="157" t="str">
        <x:v>DATE</x:v>
      </x:c>
      <x:c r="B8" s="161" t="str">
        <x:v>TOTAL</x:v>
      </x:c>
      <x:c r="C8" s="154"/>
      <x:c r="D8" s="156"/>
      <x:c r="E8" s="156"/>
      <x:c r="F8" s="156"/>
      <x:c r="G8" s="156"/>
      <x:c r="H8" s="156"/>
      <x:c r="I8" s="156"/>
      <x:c r="J8" s="156"/>
      <x:c r="K8" s="156"/>
      <x:c r="L8" s="156"/>
      <x:c r="M8" s="156"/>
      <x:c r="N8" s="156"/>
      <x:c r="O8" s="156"/>
      <x:c r="P8" s="155"/>
      <x:c r="Q8" s="154"/>
      <x:c r="R8" s="156"/>
      <x:c r="S8" s="156"/>
      <x:c r="T8" s="156"/>
      <x:c r="U8" s="156"/>
      <x:c r="V8" s="156"/>
      <x:c r="W8" s="156"/>
      <x:c r="X8" s="156"/>
      <x:c r="Y8" s="156"/>
      <x:c r="Z8" s="155"/>
      <x:c r="AA8" t="str">
        <x:v>ESTIMATED % SPLIT</x:v>
      </x:c>
    </x:row>
    <x:row r="9">
      <x:c r="A9" s="158"/>
      <x:c r="B9" s="162"/>
      <x:c r="C9" s="154" t="str">
        <x:v>MAR</x:v>
      </x:c>
      <x:c r="D9" s="155"/>
      <x:c r="E9" s="154" t="str">
        <x:v>APR</x:v>
      </x:c>
      <x:c r="F9" s="155"/>
      <x:c r="G9" s="154" t="str">
        <x:v>MAY</x:v>
      </x:c>
      <x:c r="H9" s="155"/>
      <x:c r="I9" s="154" t="str">
        <x:v>JUN</x:v>
      </x:c>
      <x:c r="J9" s="155"/>
      <x:c r="K9" s="154" t="str">
        <x:v>JUL</x:v>
      </x:c>
      <x:c r="L9" s="155"/>
      <x:c r="M9" s="154" t="str">
        <x:v>AUG</x:v>
      </x:c>
      <x:c r="N9" s="155"/>
      <x:c r="O9" s="154" t="str">
        <x:v>SEP</x:v>
      </x:c>
      <x:c r="P9" s="155"/>
      <x:c r="Q9" s="154" t="str">
        <x:v>OCT</x:v>
      </x:c>
      <x:c r="R9" s="155"/>
      <x:c r="S9" s="154" t="str">
        <x:v>NOV</x:v>
      </x:c>
      <x:c r="T9" s="155"/>
      <x:c r="U9" s="154" t="str">
        <x:v>DEC</x:v>
      </x:c>
      <x:c r="V9" s="155"/>
      <x:c r="W9" s="154" t="str">
        <x:v>JAN</x:v>
      </x:c>
      <x:c r="X9" s="155"/>
      <x:c r="Y9" s="154" t="str">
        <x:v>FEB</x:v>
      </x:c>
      <x:c r="Z9" s="155"/>
      <x:c r="AA9" t="str">
        <x:v>(MAR -SEP)</x:v>
      </x:c>
    </x:row>
    <x:row r="10" ht="15" customHeight="1">
      <x:c r="A10" s="159"/>
      <x:c r="B10" s="163"/>
      <x:c r="C10" s="160"/>
      <x:c r="D10" s="160"/>
      <x:c r="E10" s="160"/>
      <x:c r="F10" s="160"/>
      <x:c r="G10" s="160"/>
      <x:c r="H10" s="160"/>
      <x:c r="I10" s="160"/>
      <x:c r="J10" s="160"/>
      <x:c r="K10" s="160"/>
      <x:c r="L10" s="160"/>
      <x:c r="M10" s="165"/>
      <x:c r="N10" s="166"/>
      <x:c r="O10" s="169"/>
      <x:c r="P10" s="169"/>
      <x:c r="Q10" s="165"/>
      <x:c r="R10" s="166"/>
      <x:c r="S10" s="167"/>
      <x:c r="T10" s="168"/>
      <x:c r="U10" s="160"/>
      <x:c r="V10" s="160"/>
      <x:c r="W10" s="160"/>
      <x:c r="X10" s="160"/>
      <x:c r="Y10" s="160"/>
      <x:c r="Z10" s="160"/>
      <x:c r="AA10"/>
    </x:row>
    <x:row r="11">
      <x:c r="A11" s="92" t="n">
        <x:v>1</x:v>
      </x:c>
      <x:c r="B11" s="112" t="str">
        <x:f>IF(SUM(C11,E11,G11,I11,K11,M11,O11,Q11,S11,U11,W11,Y11)=0,"",SUM(C11,E11,G11,I11,K11,M11,O11,Q11,S11,U11,W11,Y11))</x:f>
      </x:c>
      <x:c r="C11" s="81"/>
      <x:c r="D11" s="115"/>
      <x:c r="E11" s="81"/>
      <x:c r="F11" s="89"/>
      <x:c r="G11" s="81"/>
      <x:c r="H11" s="91"/>
      <x:c r="I11" s="81"/>
      <x:c r="J11" s="82"/>
      <x:c r="K11" s="93"/>
      <x:c r="L11" s="89"/>
      <x:c r="M11" s="81"/>
      <x:c r="N11" s="89"/>
      <x:c r="O11" s="93">
        <x:f t="shared" ref="O11:O16" si="0">MROUND($O$10*$AA11, 10)</x:f>
      </x:c>
      <x:c r="P11" s="89"/>
      <x:c r="Q11" s="81"/>
      <x:c r="R11" s="89"/>
      <x:c r="S11" s="81"/>
      <x:c r="T11" s="95"/>
      <x:c r="U11" s="81">
        <x:f t="shared" ref="U11:U16" si="1">MROUND($U$10*$AA11, 10)</x:f>
      </x:c>
      <x:c r="V11" s="89"/>
      <x:c r="W11" s="81"/>
      <x:c r="X11" s="89"/>
      <x:c r="Y11" s="81"/>
      <x:c r="Z11" s="82"/>
      <x:c r="AA11" s="133" t="n">
        <x:v>0.04</x:v>
      </x:c>
    </x:row>
    <x:row r="12">
      <x:c r="A12" s="92" t="n">
        <x:v>2</x:v>
      </x:c>
      <x:c r="B12" s="112" t="str">
        <x:f t="shared" ref="B12:B41" si="2">IF(SUM(C12,E12,G12,I12,K12,M12,O12,Q12,S12,U12,W12,Y12)=0,"",SUM(C12,E12,G12,I12,K12,M12,O12,Q12,S12,U12,W12,Y12))</x:f>
      </x:c>
      <x:c r="C12" s="83"/>
      <x:c r="D12" s="116"/>
      <x:c r="E12" s="83"/>
      <x:c r="F12" s="84"/>
      <x:c r="G12" s="83"/>
      <x:c r="H12"/>
      <x:c r="I12" s="83">
        <x:f t="shared" ref="I12:I18" si="3">MROUND($I$10*$AA12, 10)</x:f>
      </x:c>
      <x:c r="J12" s="84"/>
      <x:c r="K12" s="79"/>
      <x:c r="L12" s="84"/>
      <x:c r="M12" s="83"/>
      <x:c r="N12" s="85"/>
      <x:c r="O12" s="79">
        <x:f t="shared" si="0"/>
      </x:c>
      <x:c r="P12" s="84"/>
      <x:c r="Q12" s="83">
        <x:f t="shared" ref="Q12:Q41" si="4">MROUND($Q$10*$AA12, 10)</x:f>
      </x:c>
      <x:c r="R12" s="84"/>
      <x:c r="S12" s="83"/>
      <x:c r="T12" s="86"/>
      <x:c r="U12" s="83">
        <x:f t="shared" si="1"/>
      </x:c>
      <x:c r="V12" s="84"/>
      <x:c r="W12" s="83">
        <x:f t="shared" ref="W12:W41" si="5">MROUND($W$10*$AA12, 10)</x:f>
      </x:c>
      <x:c r="X12" s="84"/>
      <x:c r="Y12" s="83">
        <x:f t="shared" ref="Y12:Y38" si="6">MROUND($Y$10*$AA12, 10)</x:f>
      </x:c>
      <x:c r="Z12" s="84"/>
      <x:c r="AA12" s="133" t="n">
        <x:v>0.025</x:v>
      </x:c>
    </x:row>
    <x:row r="13">
      <x:c r="A13" s="92" t="n">
        <x:v>3</x:v>
      </x:c>
      <x:c r="B13" s="112" t="str">
        <x:f t="shared" si="2">IF(SUM(C13,E13,G13,I13,K13,M13,O13,Q13,S13,U13,W13,Y13)=0,"",SUM(C13,E13,G13,I13,K13,M13,O13,Q13,S13,U13,W13,Y13))</x:f>
      </x:c>
      <x:c r="C13" s="83">
        <x:f t="shared" ref="C13:C18" si="7">MROUND($C$10*$AA13, 10)</x:f>
      </x:c>
      <x:c r="D13" s="117"/>
      <x:c r="E13" s="83"/>
      <x:c r="F13" s="84"/>
      <x:c r="G13" s="83"/>
      <x:c r="H13" s="110"/>
      <x:c r="I13" s="83">
        <x:f t="shared" si="3"/>
      </x:c>
      <x:c r="J13" s="84"/>
      <x:c r="K13" s="79"/>
      <x:c r="L13" s="84"/>
      <x:c r="M13" s="83"/>
      <x:c r="N13" s="86"/>
      <x:c r="O13" s="79">
        <x:f t="shared" si="0"/>
      </x:c>
      <x:c r="P13" s="84"/>
      <x:c r="Q13" s="83">
        <x:f t="shared" si="4"/>
      </x:c>
      <x:c r="R13" s="84"/>
      <x:c r="S13" s="83">
        <x:f t="shared" ref="S13:S18" si="8">MROUND($S$10*$AA13, 10)</x:f>
      </x:c>
      <x:c r="T13" s="84"/>
      <x:c r="U13" s="83">
        <x:f t="shared" si="1"/>
      </x:c>
      <x:c r="V13" s="84"/>
      <x:c r="W13" s="83">
        <x:f t="shared" si="5"/>
      </x:c>
      <x:c r="X13" s="85"/>
      <x:c r="Y13" s="83">
        <x:f t="shared" si="6"/>
      </x:c>
      <x:c r="Z13" s="84"/>
      <x:c r="AA13" s="133" t="n">
        <x:v>0.028</x:v>
      </x:c>
    </x:row>
    <x:row r="14">
      <x:c r="A14" s="92" t="n">
        <x:v>4</x:v>
      </x:c>
      <x:c r="B14" s="112" t="str">
        <x:f t="shared" si="2">IF(SUM(C14,E14,G14,I14,K14,M14,O14,Q14,S14,U14,W14,Y14)=0,"",SUM(C14,E14,G14,I14,K14,M14,O14,Q14,S14,U14,W14,Y14))</x:f>
      </x:c>
      <x:c r="C14" s="83">
        <x:f t="shared" si="7"/>
      </x:c>
      <x:c r="D14" s="117"/>
      <x:c r="E14" s="83"/>
      <x:c r="F14" s="84"/>
      <x:c r="G14" s="83"/>
      <x:c r="H14" s="111"/>
      <x:c r="I14" s="83">
        <x:f t="shared" si="3"/>
      </x:c>
      <x:c r="J14" s="84"/>
      <x:c r="K14" s="79"/>
      <x:c r="L14" s="84"/>
      <x:c r="M14" s="83"/>
      <x:c r="N14" s="84"/>
      <x:c r="O14" s="79">
        <x:f t="shared" si="0"/>
      </x:c>
      <x:c r="P14" s="84"/>
      <x:c r="Q14" s="83">
        <x:f t="shared" si="4"/>
      </x:c>
      <x:c r="R14" s="85"/>
      <x:c r="S14" s="83">
        <x:f t="shared" si="8"/>
      </x:c>
      <x:c r="T14" s="84"/>
      <x:c r="U14" s="83">
        <x:f t="shared" si="1"/>
      </x:c>
      <x:c r="V14" s="84"/>
      <x:c r="W14" s="83"/>
      <x:c r="X14" s="86"/>
      <x:c r="Y14" s="83">
        <x:f t="shared" si="6"/>
      </x:c>
      <x:c r="Z14" s="84"/>
      <x:c r="AA14" s="133" t="n">
        <x:v>0.039</x:v>
      </x:c>
    </x:row>
    <x:row r="15">
      <x:c r="A15" s="92" t="n">
        <x:v>5</x:v>
      </x:c>
      <x:c r="B15" s="112" t="str">
        <x:f t="shared" si="2">IF(SUM(C15,E15,G15,I15,K15,M15,O15,Q15,S15,U15,W15,Y15)=0,"",SUM(C15,E15,G15,I15,K15,M15,O15,Q15,S15,U15,W15,Y15))</x:f>
      </x:c>
      <x:c r="C15" s="83">
        <x:f t="shared" si="7"/>
      </x:c>
      <x:c r="D15" s="117"/>
      <x:c r="E15" s="83"/>
      <x:c r="F15" s="85"/>
      <x:c r="G15" s="83">
        <x:f t="shared" ref="G15:G20" si="9">MROUND($G$10*$AA15, 10)</x:f>
      </x:c>
      <x:c r="H15"/>
      <x:c r="I15" s="83">
        <x:f t="shared" si="3"/>
      </x:c>
      <x:c r="J15" s="84"/>
      <x:c r="K15" s="79"/>
      <x:c r="L15" s="85"/>
      <x:c r="M15" s="83"/>
      <x:c r="N15" s="84"/>
      <x:c r="O15" s="79">
        <x:f t="shared" si="0"/>
      </x:c>
      <x:c r="P15" s="84"/>
      <x:c r="Q15" s="83"/>
      <x:c r="R15" s="86"/>
      <x:c r="S15" s="83">
        <x:f t="shared" si="8"/>
      </x:c>
      <x:c r="T15" s="84"/>
      <x:c r="U15" s="83">
        <x:f t="shared" si="1"/>
      </x:c>
      <x:c r="V15" s="84"/>
      <x:c r="W15" s="83">
        <x:f t="shared" si="5"/>
      </x:c>
      <x:c r="X15" s="84"/>
      <x:c r="Y15" s="83">
        <x:f t="shared" si="6"/>
      </x:c>
      <x:c r="Z15" s="84"/>
      <x:c r="AA15" s="133" t="n">
        <x:v>0.044</x:v>
      </x:c>
    </x:row>
    <x:row r="16">
      <x:c r="A16" s="92" t="n">
        <x:v>6</x:v>
      </x:c>
      <x:c r="B16" s="112" t="str">
        <x:f t="shared" si="2">IF(SUM(C16,E16,G16,I16,K16,M16,O16,Q16,S16,U16,W16,Y16)=0,"",SUM(C16,E16,G16,I16,K16,M16,O16,Q16,S16,U16,W16,Y16))</x:f>
      </x:c>
      <x:c r="C16" s="83">
        <x:f t="shared" si="7"/>
      </x:c>
      <x:c r="D16" s="117"/>
      <x:c r="E16" s="83"/>
      <x:c r="F16" s="86"/>
      <x:c r="G16" s="83">
        <x:f t="shared" si="9"/>
      </x:c>
      <x:c r="H16"/>
      <x:c r="I16" s="83">
        <x:f t="shared" si="3"/>
      </x:c>
      <x:c r="J16" s="84"/>
      <x:c r="K16" s="79"/>
      <x:c r="L16" s="86"/>
      <x:c r="M16" s="83"/>
      <x:c r="N16" s="84"/>
      <x:c r="O16" s="79">
        <x:f t="shared" si="0"/>
      </x:c>
      <x:c r="P16" s="85"/>
      <x:c r="Q16" s="83">
        <x:f t="shared" si="4"/>
      </x:c>
      <x:c r="R16" s="84"/>
      <x:c r="S16" s="83">
        <x:f t="shared" si="8"/>
      </x:c>
      <x:c r="T16" s="84"/>
      <x:c r="U16" s="83">
        <x:f t="shared" si="1"/>
      </x:c>
      <x:c r="V16" s="85"/>
      <x:c r="W16" s="83">
        <x:f t="shared" si="5"/>
      </x:c>
      <x:c r="X16" s="84"/>
      <x:c r="Y16" s="83">
        <x:f t="shared" si="6"/>
      </x:c>
      <x:c r="Z16" s="84"/>
      <x:c r="AA16" s="133" t="n">
        <x:v>0.02</x:v>
      </x:c>
    </x:row>
    <x:row r="17">
      <x:c r="A17" s="92" t="n">
        <x:v>7</x:v>
      </x:c>
      <x:c r="B17" s="112" t="str">
        <x:f t="shared" si="2">IF(SUM(C17,E17,G17,I17,K17,M17,O17,Q17,S17,U17,W17,Y17)=0,"",SUM(C17,E17,G17,I17,K17,M17,O17,Q17,S17,U17,W17,Y17))</x:f>
      </x:c>
      <x:c r="C17" s="83">
        <x:f t="shared" si="7"/>
      </x:c>
      <x:c r="D17" s="117"/>
      <x:c r="E17" s="83">
        <x:f t="shared" ref="E17:E22" si="10">MROUND($E$10*$AA17, 10)</x:f>
      </x:c>
      <x:c r="F17" s="84"/>
      <x:c r="G17" s="83">
        <x:f t="shared" si="9"/>
      </x:c>
      <x:c r="H17"/>
      <x:c r="I17" s="83">
        <x:f t="shared" si="3"/>
      </x:c>
      <x:c r="J17" s="85"/>
      <x:c r="K17" s="79">
        <x:f t="shared" ref="K17:K22" si="11">MROUND($K$10*$AA17, 10)</x:f>
      </x:c>
      <x:c r="L17" s="84"/>
      <x:c r="M17" s="83"/>
      <x:c r="N17" s="84"/>
      <x:c r="O17" s="79"/>
      <x:c r="P17" s="86"/>
      <x:c r="Q17" s="83">
        <x:f t="shared" si="4"/>
      </x:c>
      <x:c r="R17" s="84"/>
      <x:c r="S17" s="83">
        <x:f t="shared" si="8"/>
      </x:c>
      <x:c r="T17" s="84"/>
      <x:c r="U17" s="83"/>
      <x:c r="V17" s="86"/>
      <x:c r="W17" s="83">
        <x:f t="shared" si="5"/>
      </x:c>
      <x:c r="X17" s="84"/>
      <x:c r="Y17" s="83">
        <x:f t="shared" si="6"/>
      </x:c>
      <x:c r="Z17" s="85"/>
      <x:c r="AA17" s="133" t="n">
        <x:v>0.016</x:v>
      </x:c>
    </x:row>
    <x:row r="18">
      <x:c r="A18" s="92" t="n">
        <x:v>8</x:v>
      </x:c>
      <x:c r="B18" s="112" t="str">
        <x:f t="shared" si="2">IF(SUM(C18,E18,G18,I18,K18,M18,O18,Q18,S18,U18,W18,Y18)=0,"",SUM(C18,E18,G18,I18,K18,M18,O18,Q18,S18,U18,W18,Y18))</x:f>
      </x:c>
      <x:c r="C18" s="83">
        <x:f t="shared" si="7"/>
      </x:c>
      <x:c r="D18" s="118"/>
      <x:c r="E18" s="83">
        <x:f t="shared" si="10"/>
      </x:c>
      <x:c r="F18" s="84"/>
      <x:c r="G18" s="83">
        <x:f t="shared" si="9"/>
      </x:c>
      <x:c r="H18"/>
      <x:c r="I18" s="83">
        <x:f t="shared" si="3"/>
      </x:c>
      <x:c r="J18" s="86"/>
      <x:c r="K18" s="79">
        <x:f t="shared" si="11"/>
      </x:c>
      <x:c r="L18" s="84"/>
      <x:c r="M18" s="83"/>
      <x:c r="N18" s="84"/>
      <x:c r="O18" s="79">
        <x:f t="shared" ref="O18:O23" si="12">MROUND($O$10*$AA18, 10)</x:f>
      </x:c>
      <x:c r="P18" s="84"/>
      <x:c r="Q18" s="83">
        <x:f t="shared" si="4"/>
      </x:c>
      <x:c r="R18" s="84"/>
      <x:c r="S18" s="83">
        <x:f t="shared" si="8"/>
      </x:c>
      <x:c r="T18" s="85"/>
      <x:c r="U18" s="83"/>
      <x:c r="V18" s="84"/>
      <x:c r="W18" s="83">
        <x:f t="shared" si="5"/>
      </x:c>
      <x:c r="X18" s="84"/>
      <x:c r="Y18" s="83"/>
      <x:c r="Z18" s="86"/>
      <x:c r="AA18" s="133" t="n">
        <x:v>0.046</x:v>
      </x:c>
    </x:row>
    <x:row r="19">
      <x:c r="A19" s="92" t="n">
        <x:v>9</x:v>
      </x:c>
      <x:c r="B19" s="112" t="str">
        <x:f t="shared" si="2">IF(SUM(C19,E19,G19,I19,K19,M19,O19,Q19,S19,U19,W19,Y19)=0,"",SUM(C19,E19,G19,I19,K19,M19,O19,Q19,S19,U19,W19,Y19))</x:f>
      </x:c>
      <x:c r="C19" s="83"/>
      <x:c r="D19" s="116"/>
      <x:c r="E19" s="83">
        <x:f t="shared" si="10"/>
      </x:c>
      <x:c r="F19" s="84"/>
      <x:c r="G19" s="83">
        <x:f t="shared" si="9"/>
      </x:c>
      <x:c r="H19"/>
      <x:c r="I19" s="83"/>
      <x:c r="J19" s="84"/>
      <x:c r="K19" s="79">
        <x:f t="shared" si="11"/>
      </x:c>
      <x:c r="L19" s="84"/>
      <x:c r="M19" s="83"/>
      <x:c r="N19" s="85"/>
      <x:c r="O19" s="79">
        <x:f t="shared" si="12"/>
      </x:c>
      <x:c r="P19" s="84"/>
      <x:c r="Q19" s="83">
        <x:f t="shared" si="4"/>
      </x:c>
      <x:c r="R19" s="84"/>
      <x:c r="S19" s="83"/>
      <x:c r="T19" s="86"/>
      <x:c r="U19" s="83"/>
      <x:c r="V19" s="84"/>
      <x:c r="W19" s="83">
        <x:f t="shared" si="5"/>
      </x:c>
      <x:c r="X19" s="84"/>
      <x:c r="Y19" s="83">
        <x:f t="shared" si="6"/>
      </x:c>
      <x:c r="Z19" s="84"/>
      <x:c r="AA19" s="133" t="n">
        <x:v>0.04</x:v>
      </x:c>
    </x:row>
    <x:row r="20">
      <x:c r="A20" s="92" t="n">
        <x:v>10</x:v>
      </x:c>
      <x:c r="B20" s="112" t="str">
        <x:f t="shared" si="2">IF(SUM(C20,E20,G20,I20,K20,M20,O20,Q20,S20,U20,W20,Y20)=0,"",SUM(C20,E20,G20,I20,K20,M20,O20,Q20,S20,U20,W20,Y20))</x:f>
      </x:c>
      <x:c r="C20" s="83">
        <x:f t="shared" ref="C20:C25" si="13">MROUND($C$10*$AA20, 10)</x:f>
      </x:c>
      <x:c r="D20" s="117"/>
      <x:c r="E20" s="83">
        <x:f t="shared" si="10"/>
      </x:c>
      <x:c r="F20" s="84"/>
      <x:c r="G20" s="83">
        <x:f t="shared" si="9"/>
      </x:c>
      <x:c r="H20" s="110"/>
      <x:c r="I20" s="83"/>
      <x:c r="J20" s="84"/>
      <x:c r="K20" s="79">
        <x:f t="shared" si="11"/>
      </x:c>
      <x:c r="L20" s="84"/>
      <x:c r="M20" s="83"/>
      <x:c r="N20" s="86"/>
      <x:c r="O20" s="79">
        <x:f t="shared" si="12"/>
      </x:c>
      <x:c r="P20" s="84"/>
      <x:c r="Q20" s="83">
        <x:f t="shared" si="4"/>
      </x:c>
      <x:c r="R20" s="84"/>
      <x:c r="S20" s="83">
        <x:f t="shared" ref="S20:S25" si="14">MROUND($S$10*$AA20, 10)</x:f>
      </x:c>
      <x:c r="T20" s="84"/>
      <x:c r="U20" s="83"/>
      <x:c r="V20" s="84"/>
      <x:c r="W20" s="83">
        <x:f t="shared" si="5"/>
      </x:c>
      <x:c r="X20" s="85"/>
      <x:c r="Y20" s="83">
        <x:f t="shared" si="6"/>
      </x:c>
      <x:c r="Z20" s="84"/>
      <x:c r="AA20" s="133" t="n">
        <x:v>0.025</x:v>
      </x:c>
    </x:row>
    <x:row r="21">
      <x:c r="A21" s="92" t="n">
        <x:v>11</x:v>
      </x:c>
      <x:c r="B21" s="112" t="str">
        <x:f t="shared" si="2">IF(SUM(C21,E21,G21,I21,K21,M21,O21,Q21,S21,U21,W21,Y21)=0,"",SUM(C21,E21,G21,I21,K21,M21,O21,Q21,S21,U21,W21,Y21))</x:f>
      </x:c>
      <x:c r="C21" s="83">
        <x:f t="shared" si="13"/>
      </x:c>
      <x:c r="D21" s="117"/>
      <x:c r="E21" s="83">
        <x:f t="shared" si="10"/>
      </x:c>
      <x:c r="F21" s="84"/>
      <x:c r="G21" s="83"/>
      <x:c r="H21" s="111"/>
      <x:c r="I21" s="83"/>
      <x:c r="J21" s="84"/>
      <x:c r="K21" s="79">
        <x:f t="shared" si="11"/>
      </x:c>
      <x:c r="L21" s="84"/>
      <x:c r="M21" s="83">
        <x:f t="shared" ref="M21:M26" si="15">MROUND($M$10*$AA21, 10)</x:f>
      </x:c>
      <x:c r="N21" s="84"/>
      <x:c r="O21" s="79">
        <x:f t="shared" si="12"/>
      </x:c>
      <x:c r="P21" s="84"/>
      <x:c r="Q21" s="83">
        <x:f t="shared" si="4"/>
      </x:c>
      <x:c r="R21" s="85"/>
      <x:c r="S21" s="83">
        <x:f t="shared" si="14"/>
      </x:c>
      <x:c r="T21" s="84"/>
      <x:c r="U21" s="83"/>
      <x:c r="V21" s="84"/>
      <x:c r="W21" s="83"/>
      <x:c r="X21" s="86"/>
      <x:c r="Y21" s="83">
        <x:f t="shared" si="6"/>
      </x:c>
      <x:c r="Z21" s="84"/>
      <x:c r="AA21" s="133" t="n">
        <x:v>0.028</x:v>
      </x:c>
    </x:row>
    <x:row r="22">
      <x:c r="A22" s="92" t="n">
        <x:v>12</x:v>
      </x:c>
      <x:c r="B22" s="112" t="str">
        <x:f t="shared" si="2">IF(SUM(C22,E22,G22,I22,K22,M22,O22,Q22,S22,U22,W22,Y22)=0,"",SUM(C22,E22,G22,I22,K22,M22,O22,Q22,S22,U22,W22,Y22))</x:f>
      </x:c>
      <x:c r="C22" s="83">
        <x:f t="shared" si="13"/>
      </x:c>
      <x:c r="D22" s="117"/>
      <x:c r="E22" s="83">
        <x:f t="shared" si="10"/>
      </x:c>
      <x:c r="F22" s="85"/>
      <x:c r="G22" s="83">
        <x:f t="shared" ref="G22:G27" si="16">MROUND($G$10*$AA22, 10)</x:f>
      </x:c>
      <x:c r="H22"/>
      <x:c r="I22" s="83"/>
      <x:c r="J22" s="84"/>
      <x:c r="K22" s="79">
        <x:f t="shared" si="11"/>
      </x:c>
      <x:c r="L22" s="85"/>
      <x:c r="M22" s="83">
        <x:f t="shared" si="15"/>
      </x:c>
      <x:c r="N22" s="84"/>
      <x:c r="O22" s="79">
        <x:f t="shared" si="12"/>
      </x:c>
      <x:c r="P22" s="84"/>
      <x:c r="Q22" s="83"/>
      <x:c r="R22" s="86"/>
      <x:c r="S22" s="83">
        <x:f t="shared" si="14"/>
      </x:c>
      <x:c r="T22" s="84"/>
      <x:c r="U22" s="83"/>
      <x:c r="V22" s="84"/>
      <x:c r="W22" s="83">
        <x:f t="shared" si="5"/>
      </x:c>
      <x:c r="X22" s="84"/>
      <x:c r="Y22" s="83">
        <x:f t="shared" si="6"/>
      </x:c>
      <x:c r="Z22" s="84"/>
      <x:c r="AA22" s="133" t="n">
        <x:v>0.039</x:v>
      </x:c>
    </x:row>
    <x:row r="23">
      <x:c r="A23" s="92" t="n">
        <x:v>13</x:v>
      </x:c>
      <x:c r="B23" s="112" t="str">
        <x:f t="shared" si="2">IF(SUM(C23,E23,G23,I23,K23,M23,O23,Q23,S23,U23,W23,Y23)=0,"",SUM(C23,E23,G23,I23,K23,M23,O23,Q23,S23,U23,W23,Y23))</x:f>
      </x:c>
      <x:c r="C23" s="83">
        <x:f t="shared" si="13"/>
      </x:c>
      <x:c r="D23" s="117"/>
      <x:c r="E23" s="83"/>
      <x:c r="F23" s="86"/>
      <x:c r="G23" s="83">
        <x:f t="shared" si="16"/>
      </x:c>
      <x:c r="H23"/>
      <x:c r="I23" s="83"/>
      <x:c r="J23" s="84"/>
      <x:c r="K23" s="79"/>
      <x:c r="L23" s="86"/>
      <x:c r="M23" s="83">
        <x:f t="shared" si="15"/>
      </x:c>
      <x:c r="N23" s="84"/>
      <x:c r="O23" s="79">
        <x:f t="shared" si="12"/>
      </x:c>
      <x:c r="P23" s="85"/>
      <x:c r="Q23" s="83">
        <x:f t="shared" si="4"/>
      </x:c>
      <x:c r="R23" s="84"/>
      <x:c r="S23" s="83">
        <x:f t="shared" si="14"/>
      </x:c>
      <x:c r="T23" s="84"/>
      <x:c r="U23" s="83"/>
      <x:c r="V23" s="85"/>
      <x:c r="W23" s="83">
        <x:f t="shared" si="5"/>
      </x:c>
      <x:c r="X23" s="84"/>
      <x:c r="Y23" s="83">
        <x:f t="shared" si="6"/>
      </x:c>
      <x:c r="Z23" s="84"/>
      <x:c r="AA23" s="133" t="n">
        <x:v>0.014</x:v>
      </x:c>
    </x:row>
    <x:row r="24">
      <x:c r="A24" s="92" t="n">
        <x:v>14</x:v>
      </x:c>
      <x:c r="B24" s="112" t="str">
        <x:f t="shared" si="2">IF(SUM(C24,E24,G24,I24,K24,M24,O24,Q24,S24,U24,W24,Y24)=0,"",SUM(C24,E24,G24,I24,K24,M24,O24,Q24,S24,U24,W24,Y24))</x:f>
      </x:c>
      <x:c r="C24" s="83">
        <x:f t="shared" si="13"/>
      </x:c>
      <x:c r="D24" s="117"/>
      <x:c r="E24" s="83">
        <x:f t="shared" ref="E24:E29" si="17">MROUND($E$10*$AA24, 10)</x:f>
      </x:c>
      <x:c r="F24" s="84"/>
      <x:c r="G24" s="83">
        <x:f t="shared" si="16"/>
      </x:c>
      <x:c r="H24"/>
      <x:c r="I24" s="83"/>
      <x:c r="J24" s="85"/>
      <x:c r="K24" s="79">
        <x:f t="shared" ref="K24:K29" si="18">MROUND($K$10*$AA24, 10)</x:f>
      </x:c>
      <x:c r="L24" s="84"/>
      <x:c r="M24" s="83">
        <x:f t="shared" si="15"/>
      </x:c>
      <x:c r="N24" s="84"/>
      <x:c r="O24" s="79"/>
      <x:c r="P24" s="86"/>
      <x:c r="Q24" s="83">
        <x:f t="shared" si="4"/>
      </x:c>
      <x:c r="R24" s="84"/>
      <x:c r="S24" s="83">
        <x:f t="shared" si="14"/>
      </x:c>
      <x:c r="T24" s="84"/>
      <x:c r="U24" s="83"/>
      <x:c r="V24" s="86"/>
      <x:c r="W24" s="83">
        <x:f t="shared" si="5"/>
      </x:c>
      <x:c r="X24" s="84"/>
      <x:c r="Y24" s="83">
        <x:f t="shared" si="6"/>
      </x:c>
      <x:c r="Z24" s="85"/>
      <x:c r="AA24" s="133" t="n">
        <x:v>0.048</x:v>
      </x:c>
    </x:row>
    <x:row r="25">
      <x:c r="A25" s="92" t="n">
        <x:v>15</x:v>
      </x:c>
      <x:c r="B25" s="112" t="str">
        <x:f t="shared" si="2">IF(SUM(C25,E25,G25,I25,K25,M25,O25,Q25,S25,U25,W25,Y25)=0,"",SUM(C25,E25,G25,I25,K25,M25,O25,Q25,S25,U25,W25,Y25))</x:f>
      </x:c>
      <x:c r="C25" s="83">
        <x:f t="shared" si="13"/>
      </x:c>
      <x:c r="D25" s="118"/>
      <x:c r="E25" s="83">
        <x:f t="shared" si="17"/>
      </x:c>
      <x:c r="F25" s="84"/>
      <x:c r="G25" s="83">
        <x:f t="shared" si="16"/>
      </x:c>
      <x:c r="H25"/>
      <x:c r="I25" s="83"/>
      <x:c r="J25" s="86"/>
      <x:c r="K25" s="79">
        <x:f t="shared" si="18"/>
      </x:c>
      <x:c r="L25" s="84"/>
      <x:c r="M25" s="83">
        <x:f t="shared" si="15"/>
      </x:c>
      <x:c r="N25" s="84"/>
      <x:c r="O25" s="79">
        <x:f t="shared" ref="O25:O30" si="19">MROUND($O$10*$AA25, 10)</x:f>
      </x:c>
      <x:c r="P25" s="84"/>
      <x:c r="Q25" s="83">
        <x:f t="shared" si="4"/>
      </x:c>
      <x:c r="R25" s="84"/>
      <x:c r="S25" s="83">
        <x:f t="shared" si="14"/>
      </x:c>
      <x:c r="T25" s="85"/>
      <x:c r="U25" s="83">
        <x:f t="shared" ref="U25:U30" si="20">MROUND($U$10*$AA25, 10)</x:f>
      </x:c>
      <x:c r="V25" s="84"/>
      <x:c r="W25" s="83">
        <x:f t="shared" si="5"/>
      </x:c>
      <x:c r="X25" s="84"/>
      <x:c r="Y25" s="83"/>
      <x:c r="Z25" s="86"/>
      <x:c r="AA25" s="133" t="n">
        <x:v>0.016</x:v>
      </x:c>
    </x:row>
    <x:row r="26">
      <x:c r="A26" s="92" t="n">
        <x:v>16</x:v>
      </x:c>
      <x:c r="B26" s="112" t="str">
        <x:f t="shared" si="2">IF(SUM(C26,E26,G26,I26,K26,M26,O26,Q26,S26,U26,W26,Y26)=0,"",SUM(C26,E26,G26,I26,K26,M26,O26,Q26,S26,U26,W26,Y26))</x:f>
      </x:c>
      <x:c r="C26" s="83"/>
      <x:c r="D26" s="116"/>
      <x:c r="E26" s="83">
        <x:f t="shared" si="17"/>
      </x:c>
      <x:c r="F26" s="84"/>
      <x:c r="G26" s="83">
        <x:f t="shared" si="16"/>
      </x:c>
      <x:c r="H26"/>
      <x:c r="I26" s="83">
        <x:f t="shared" ref="I26:I31" si="21">MROUND($I$10*$AA26, 10)</x:f>
      </x:c>
      <x:c r="J26" s="84"/>
      <x:c r="K26" s="79">
        <x:f t="shared" si="18"/>
      </x:c>
      <x:c r="L26" s="84"/>
      <x:c r="M26" s="83">
        <x:f t="shared" si="15"/>
      </x:c>
      <x:c r="N26" s="85"/>
      <x:c r="O26" s="79">
        <x:f t="shared" si="19"/>
      </x:c>
      <x:c r="P26" s="84"/>
      <x:c r="Q26" s="83">
        <x:f t="shared" si="4"/>
      </x:c>
      <x:c r="R26" s="84"/>
      <x:c r="S26" s="83"/>
      <x:c r="T26" s="86"/>
      <x:c r="U26" s="83">
        <x:f t="shared" si="20"/>
      </x:c>
      <x:c r="V26" s="84"/>
      <x:c r="W26" s="83">
        <x:f t="shared" si="5"/>
      </x:c>
      <x:c r="X26" s="84"/>
      <x:c r="Y26" s="83">
        <x:f t="shared" si="6"/>
      </x:c>
      <x:c r="Z26" s="84"/>
      <x:c r="AA26" s="133" t="n">
        <x:v>0.046</x:v>
      </x:c>
    </x:row>
    <x:row r="27">
      <x:c r="A27" s="92" t="n">
        <x:v>17</x:v>
      </x:c>
      <x:c r="B27" s="112" t="str">
        <x:f t="shared" si="2">IF(SUM(C27,E27,G27,I27,K27,M27,O27,Q27,S27,U27,W27,Y27)=0,"",SUM(C27,E27,G27,I27,K27,M27,O27,Q27,S27,U27,W27,Y27))</x:f>
      </x:c>
      <x:c r="C27" s="83">
        <x:f t="shared" ref="C27:C32" si="22">MROUND($C$10*$AA27, 10)</x:f>
      </x:c>
      <x:c r="D27" s="117"/>
      <x:c r="E27" s="83">
        <x:f t="shared" si="17"/>
      </x:c>
      <x:c r="F27" s="84"/>
      <x:c r="G27" s="83">
        <x:f t="shared" si="16"/>
      </x:c>
      <x:c r="H27" s="110"/>
      <x:c r="I27" s="83">
        <x:f t="shared" si="21"/>
      </x:c>
      <x:c r="J27" s="84"/>
      <x:c r="K27" s="79">
        <x:f t="shared" si="18"/>
      </x:c>
      <x:c r="L27" s="84"/>
      <x:c r="M27" s="83"/>
      <x:c r="N27" s="86"/>
      <x:c r="O27" s="79">
        <x:f t="shared" si="19"/>
      </x:c>
      <x:c r="P27" s="84"/>
      <x:c r="Q27" s="83">
        <x:f t="shared" si="4"/>
      </x:c>
      <x:c r="R27" s="84"/>
      <x:c r="S27" s="83">
        <x:f t="shared" ref="S27:S32" si="23">MROUND($S$10*$AA27, 10)</x:f>
      </x:c>
      <x:c r="T27" s="84"/>
      <x:c r="U27" s="83">
        <x:f t="shared" si="20"/>
      </x:c>
      <x:c r="V27" s="84"/>
      <x:c r="W27" s="83">
        <x:f t="shared" si="5"/>
      </x:c>
      <x:c r="X27" s="85"/>
      <x:c r="Y27" s="83">
        <x:f t="shared" si="6"/>
      </x:c>
      <x:c r="Z27" s="84"/>
      <x:c r="AA27" s="133" t="n">
        <x:v>0.04</x:v>
      </x:c>
    </x:row>
    <x:row r="28">
      <x:c r="A28" s="92" t="n">
        <x:v>18</x:v>
      </x:c>
      <x:c r="B28" s="112" t="str">
        <x:f t="shared" si="2">IF(SUM(C28,E28,G28,I28,K28,M28,O28,Q28,S28,U28,W28,Y28)=0,"",SUM(C28,E28,G28,I28,K28,M28,O28,Q28,S28,U28,W28,Y28))</x:f>
      </x:c>
      <x:c r="C28" s="83">
        <x:f t="shared" si="22"/>
      </x:c>
      <x:c r="D28" s="117"/>
      <x:c r="E28" s="83">
        <x:f t="shared" si="17"/>
      </x:c>
      <x:c r="F28" s="84"/>
      <x:c r="G28" s="83"/>
      <x:c r="H28" s="111"/>
      <x:c r="I28" s="83">
        <x:f t="shared" si="21"/>
      </x:c>
      <x:c r="J28" s="84"/>
      <x:c r="K28" s="79">
        <x:f t="shared" si="18"/>
      </x:c>
      <x:c r="L28" s="84"/>
      <x:c r="M28" s="83">
        <x:f t="shared" ref="M28:M33" si="24">MROUND($M$10*$AA28, 10)</x:f>
      </x:c>
      <x:c r="N28" s="84"/>
      <x:c r="O28" s="79">
        <x:f t="shared" si="19"/>
      </x:c>
      <x:c r="P28" s="84"/>
      <x:c r="Q28" s="83">
        <x:f t="shared" si="4"/>
      </x:c>
      <x:c r="R28" s="85"/>
      <x:c r="S28" s="83">
        <x:f t="shared" si="23"/>
      </x:c>
      <x:c r="T28" s="84"/>
      <x:c r="U28" s="83">
        <x:f t="shared" si="20"/>
      </x:c>
      <x:c r="V28" s="84"/>
      <x:c r="W28" s="83"/>
      <x:c r="X28" s="86"/>
      <x:c r="Y28" s="83">
        <x:f t="shared" si="6"/>
      </x:c>
      <x:c r="Z28" s="84"/>
      <x:c r="AA28" s="133" t="n">
        <x:v>0.025</x:v>
      </x:c>
    </x:row>
    <x:row r="29">
      <x:c r="A29" s="92" t="n">
        <x:v>19</x:v>
      </x:c>
      <x:c r="B29" s="112" t="str">
        <x:f t="shared" si="2">IF(SUM(C29,E29,G29,I29,K29,M29,O29,Q29,S29,U29,W29,Y29)=0,"",SUM(C29,E29,G29,I29,K29,M29,O29,Q29,S29,U29,W29,Y29))</x:f>
      </x:c>
      <x:c r="C29" s="83">
        <x:f t="shared" si="22"/>
      </x:c>
      <x:c r="D29" s="117"/>
      <x:c r="E29" s="83">
        <x:f t="shared" si="17"/>
      </x:c>
      <x:c r="F29" s="85"/>
      <x:c r="G29" s="83">
        <x:f t="shared" ref="G29:G34" si="25">MROUND($G$10*$AA29, 10)</x:f>
      </x:c>
      <x:c r="H29"/>
      <x:c r="I29" s="83">
        <x:f t="shared" si="21"/>
      </x:c>
      <x:c r="J29" s="84"/>
      <x:c r="K29" s="79">
        <x:f t="shared" si="18"/>
      </x:c>
      <x:c r="L29" s="85"/>
      <x:c r="M29" s="83">
        <x:f t="shared" si="24"/>
      </x:c>
      <x:c r="N29" s="84"/>
      <x:c r="O29" s="79">
        <x:f t="shared" si="19"/>
      </x:c>
      <x:c r="P29" s="84"/>
      <x:c r="Q29" s="83"/>
      <x:c r="R29" s="86"/>
      <x:c r="S29" s="83">
        <x:f t="shared" si="23"/>
      </x:c>
      <x:c r="T29" s="84"/>
      <x:c r="U29" s="83">
        <x:f t="shared" si="20"/>
      </x:c>
      <x:c r="V29" s="84"/>
      <x:c r="W29" s="83">
        <x:f t="shared" si="5"/>
      </x:c>
      <x:c r="X29" s="84"/>
      <x:c r="Y29" s="83">
        <x:f t="shared" si="6"/>
      </x:c>
      <x:c r="Z29" s="84"/>
      <x:c r="AA29" s="133" t="n">
        <x:v>0.028</x:v>
      </x:c>
    </x:row>
    <x:row r="30">
      <x:c r="A30" s="92" t="n">
        <x:v>20</x:v>
      </x:c>
      <x:c r="B30" s="112" t="str">
        <x:f t="shared" si="2">IF(SUM(C30,E30,G30,I30,K30,M30,O30,Q30,S30,U30,W30,Y30)=0,"",SUM(C30,E30,G30,I30,K30,M30,O30,Q30,S30,U30,W30,Y30))</x:f>
      </x:c>
      <x:c r="C30" s="83">
        <x:f t="shared" si="22"/>
      </x:c>
      <x:c r="D30" s="117"/>
      <x:c r="E30" s="83"/>
      <x:c r="F30" s="86"/>
      <x:c r="G30" s="83">
        <x:f t="shared" si="25"/>
      </x:c>
      <x:c r="H30"/>
      <x:c r="I30" s="83">
        <x:f t="shared" si="21"/>
      </x:c>
      <x:c r="J30" s="84"/>
      <x:c r="K30" s="79"/>
      <x:c r="L30" s="86"/>
      <x:c r="M30" s="83">
        <x:f t="shared" si="24"/>
      </x:c>
      <x:c r="N30" s="84"/>
      <x:c r="O30" s="79">
        <x:f t="shared" si="19"/>
      </x:c>
      <x:c r="P30" s="85"/>
      <x:c r="Q30" s="83">
        <x:f t="shared" si="4"/>
      </x:c>
      <x:c r="R30" s="84"/>
      <x:c r="S30" s="83">
        <x:f t="shared" si="23"/>
      </x:c>
      <x:c r="T30" s="84"/>
      <x:c r="U30" s="83">
        <x:f t="shared" si="20"/>
      </x:c>
      <x:c r="V30" s="85"/>
      <x:c r="W30" s="83">
        <x:f t="shared" si="5"/>
      </x:c>
      <x:c r="X30" s="84"/>
      <x:c r="Y30" s="83">
        <x:f t="shared" si="6"/>
      </x:c>
      <x:c r="Z30" s="84"/>
      <x:c r="AA30" s="133" t="n">
        <x:v>0.043</x:v>
      </x:c>
    </x:row>
    <x:row r="31">
      <x:c r="A31" s="92" t="n">
        <x:v>21</x:v>
      </x:c>
      <x:c r="B31" s="112" t="str">
        <x:f t="shared" si="2">IF(SUM(C31,E31,G31,I31,K31,M31,O31,Q31,S31,U31,W31,Y31)=0,"",SUM(C31,E31,G31,I31,K31,M31,O31,Q31,S31,U31,W31,Y31))</x:f>
      </x:c>
      <x:c r="C31" s="83">
        <x:f t="shared" si="22"/>
      </x:c>
      <x:c r="D31" s="117"/>
      <x:c r="E31" s="83">
        <x:f t="shared" ref="E31:E36" si="26">MROUND($E$10*$AA31, 10)</x:f>
      </x:c>
      <x:c r="F31" s="84"/>
      <x:c r="G31" s="83">
        <x:f t="shared" si="25"/>
      </x:c>
      <x:c r="H31"/>
      <x:c r="I31" s="83">
        <x:f t="shared" si="21"/>
      </x:c>
      <x:c r="J31" s="85"/>
      <x:c r="K31" s="79">
        <x:f t="shared" ref="K31:K36" si="27">MROUND($K$10*$AA31, 10)</x:f>
      </x:c>
      <x:c r="L31" s="84"/>
      <x:c r="M31" s="83">
        <x:f t="shared" si="24"/>
      </x:c>
      <x:c r="N31" s="84"/>
      <x:c r="O31" s="79"/>
      <x:c r="P31" s="86"/>
      <x:c r="Q31" s="83">
        <x:f t="shared" si="4"/>
      </x:c>
      <x:c r="R31" s="84"/>
      <x:c r="S31" s="83">
        <x:f t="shared" si="23"/>
      </x:c>
      <x:c r="T31" s="84"/>
      <x:c r="U31" s="83"/>
      <x:c r="V31" s="86"/>
      <x:c r="W31" s="83">
        <x:f t="shared" si="5"/>
      </x:c>
      <x:c r="X31" s="84"/>
      <x:c r="Y31" s="83">
        <x:f t="shared" si="6"/>
      </x:c>
      <x:c r="Z31" s="85"/>
      <x:c r="AA31" s="133" t="n">
        <x:v>0.025</x:v>
      </x:c>
    </x:row>
    <x:row r="32">
      <x:c r="A32" s="92" t="n">
        <x:v>22</x:v>
      </x:c>
      <x:c r="B32" s="112" t="str">
        <x:f t="shared" si="2">IF(SUM(C32,E32,G32,I32,K32,M32,O32,Q32,S32,U32,W32,Y32)=0,"",SUM(C32,E32,G32,I32,K32,M32,O32,Q32,S32,U32,W32,Y32))</x:f>
      </x:c>
      <x:c r="C32" s="83">
        <x:f t="shared" si="22"/>
      </x:c>
      <x:c r="D32" s="118"/>
      <x:c r="E32" s="83">
        <x:f t="shared" si="26"/>
      </x:c>
      <x:c r="F32" s="84"/>
      <x:c r="G32" s="83">
        <x:f t="shared" si="25"/>
      </x:c>
      <x:c r="H32"/>
      <x:c r="I32" s="83"/>
      <x:c r="J32" s="86"/>
      <x:c r="K32" s="79">
        <x:f t="shared" si="27"/>
      </x:c>
      <x:c r="L32" s="84"/>
      <x:c r="M32" s="83">
        <x:f t="shared" si="24"/>
      </x:c>
      <x:c r="N32" s="84"/>
      <x:c r="O32" s="79">
        <x:f t="shared" ref="O32:O37" si="28">MROUND($O$10*$AA32, 10)</x:f>
      </x:c>
      <x:c r="P32" s="84"/>
      <x:c r="Q32" s="83">
        <x:f t="shared" si="4"/>
      </x:c>
      <x:c r="R32" s="84"/>
      <x:c r="S32" s="83">
        <x:f t="shared" si="23"/>
      </x:c>
      <x:c r="T32" s="85"/>
      <x:c r="U32" s="83">
        <x:f t="shared" ref="U32:U37" si="29">MROUND($U$10*$AA32, 10)</x:f>
      </x:c>
      <x:c r="V32" s="84"/>
      <x:c r="W32" s="83">
        <x:f t="shared" si="5"/>
      </x:c>
      <x:c r="X32" s="84"/>
      <x:c r="Y32" s="83"/>
      <x:c r="Z32" s="86"/>
      <x:c r="AA32" s="133" t="n">
        <x:v>0.02</x:v>
      </x:c>
    </x:row>
    <x:row r="33">
      <x:c r="A33" s="92" t="n">
        <x:v>23</x:v>
      </x:c>
      <x:c r="B33" s="112" t="str">
        <x:f t="shared" si="2">IF(SUM(C33,E33,G33,I33,K33,M33,O33,Q33,S33,U33,W33,Y33)=0,"",SUM(C33,E33,G33,I33,K33,M33,O33,Q33,S33,U33,W33,Y33))</x:f>
      </x:c>
      <x:c r="C33" s="83"/>
      <x:c r="D33" s="116"/>
      <x:c r="E33" s="83">
        <x:f t="shared" si="26"/>
      </x:c>
      <x:c r="F33" s="84"/>
      <x:c r="G33" s="83">
        <x:f t="shared" si="25"/>
      </x:c>
      <x:c r="H33"/>
      <x:c r="I33" s="83">
        <x:f t="shared" ref="I33:I38" si="30">MROUND($I$10*$AA33, 10)</x:f>
      </x:c>
      <x:c r="J33" s="84"/>
      <x:c r="K33" s="79">
        <x:f t="shared" si="27"/>
      </x:c>
      <x:c r="L33" s="84"/>
      <x:c r="M33" s="83">
        <x:f t="shared" si="24"/>
      </x:c>
      <x:c r="N33" s="85"/>
      <x:c r="O33" s="79">
        <x:f t="shared" si="28"/>
      </x:c>
      <x:c r="P33" s="84"/>
      <x:c r="Q33" s="83">
        <x:f t="shared" si="4"/>
      </x:c>
      <x:c r="R33" s="84"/>
      <x:c r="S33" s="83"/>
      <x:c r="T33" s="86"/>
      <x:c r="U33" s="83">
        <x:f t="shared" si="29"/>
      </x:c>
      <x:c r="V33" s="84"/>
      <x:c r="W33" s="83">
        <x:f t="shared" si="5"/>
      </x:c>
      <x:c r="X33" s="84"/>
      <x:c r="Y33" s="83">
        <x:f t="shared" si="6"/>
      </x:c>
      <x:c r="Z33" s="84"/>
      <x:c r="AA33" s="133" t="n">
        <x:v>0.015</x:v>
      </x:c>
    </x:row>
    <x:row r="34">
      <x:c r="A34" s="92" t="n">
        <x:v>24</x:v>
      </x:c>
      <x:c r="B34" s="112" t="str">
        <x:f t="shared" si="2">IF(SUM(C34,E34,G34,I34,K34,M34,O34,Q34,S34,U34,W34,Y34)=0,"",SUM(C34,E34,G34,I34,K34,M34,O34,Q34,S34,U34,W34,Y34))</x:f>
      </x:c>
      <x:c r="C34" s="83">
        <x:f t="shared" ref="C34:C39" si="31">MROUND($C$10*$AA34, 10)</x:f>
      </x:c>
      <x:c r="D34" s="117"/>
      <x:c r="E34" s="83">
        <x:f t="shared" si="26"/>
      </x:c>
      <x:c r="F34" s="84"/>
      <x:c r="G34" s="83">
        <x:f t="shared" si="25"/>
      </x:c>
      <x:c r="H34" s="110"/>
      <x:c r="I34" s="83">
        <x:f t="shared" si="30"/>
      </x:c>
      <x:c r="J34" s="84"/>
      <x:c r="K34" s="79">
        <x:f t="shared" si="27"/>
      </x:c>
      <x:c r="L34" s="84"/>
      <x:c r="M34" s="83"/>
      <x:c r="N34" s="86"/>
      <x:c r="O34" s="79">
        <x:f t="shared" si="28"/>
      </x:c>
      <x:c r="P34" s="84"/>
      <x:c r="Q34" s="83">
        <x:f t="shared" si="4"/>
      </x:c>
      <x:c r="R34" s="84"/>
      <x:c r="S34" s="83">
        <x:f t="shared" ref="S34:S39" si="32">MROUND($S$10*$AA34, 10)</x:f>
      </x:c>
      <x:c r="T34" s="84"/>
      <x:c r="U34" s="83">
        <x:f t="shared" si="29"/>
      </x:c>
      <x:c r="V34" s="84"/>
      <x:c r="W34" s="83">
        <x:f t="shared" si="5"/>
      </x:c>
      <x:c r="X34" s="85"/>
      <x:c r="Y34" s="83">
        <x:f t="shared" si="6"/>
      </x:c>
      <x:c r="Z34" s="84"/>
      <x:c r="AA34" s="133" t="n">
        <x:v>0.036</x:v>
      </x:c>
    </x:row>
    <x:row r="35">
      <x:c r="A35" s="92" t="n">
        <x:v>25</x:v>
      </x:c>
      <x:c r="B35" s="112" t="str">
        <x:f t="shared" si="2">IF(SUM(C35,E35,G35,I35,K35,M35,O35,Q35,S35,U35,W35,Y35)=0,"",SUM(C35,E35,G35,I35,K35,M35,O35,Q35,S35,U35,W35,Y35))</x:f>
      </x:c>
      <x:c r="C35" s="83">
        <x:f t="shared" si="31"/>
      </x:c>
      <x:c r="D35" s="117"/>
      <x:c r="E35" s="83">
        <x:f t="shared" si="26"/>
      </x:c>
      <x:c r="F35" s="84"/>
      <x:c r="G35" s="83"/>
      <x:c r="H35" s="111"/>
      <x:c r="I35" s="83">
        <x:f t="shared" si="30"/>
      </x:c>
      <x:c r="J35" s="84"/>
      <x:c r="K35" s="79">
        <x:f t="shared" si="27"/>
      </x:c>
      <x:c r="L35" s="84"/>
      <x:c r="M35" s="83">
        <x:f t="shared" ref="M35:M40" si="33">MROUND($M$10*$AA35, 10)</x:f>
      </x:c>
      <x:c r="N35" s="84"/>
      <x:c r="O35" s="79">
        <x:f t="shared" si="28"/>
      </x:c>
      <x:c r="P35" s="84"/>
      <x:c r="Q35" s="83">
        <x:f t="shared" si="4"/>
      </x:c>
      <x:c r="R35" s="85"/>
      <x:c r="S35" s="83">
        <x:f t="shared" si="32"/>
      </x:c>
      <x:c r="T35" s="84"/>
      <x:c r="U35" s="83">
        <x:f t="shared" si="29"/>
      </x:c>
      <x:c r="V35" s="84"/>
      <x:c r="W35" s="83"/>
      <x:c r="X35" s="86"/>
      <x:c r="Y35" s="83">
        <x:f t="shared" si="6"/>
      </x:c>
      <x:c r="Z35" s="84"/>
      <x:c r="AA35" s="133" t="n">
        <x:v>0.05</x:v>
      </x:c>
    </x:row>
    <x:row r="36">
      <x:c r="A36" s="92" t="n">
        <x:v>26</x:v>
      </x:c>
      <x:c r="B36" s="112" t="str">
        <x:f t="shared" si="2">IF(SUM(C36,E36,G36,I36,K36,M36,O36,Q36,S36,U36,W36,Y36)=0,"",SUM(C36,E36,G36,I36,K36,M36,O36,Q36,S36,U36,W36,Y36))</x:f>
      </x:c>
      <x:c r="C36" s="83">
        <x:f t="shared" si="31"/>
      </x:c>
      <x:c r="D36" s="117"/>
      <x:c r="E36" s="83">
        <x:f t="shared" si="26"/>
      </x:c>
      <x:c r="F36" s="85"/>
      <x:c r="G36" s="83">
        <x:f t="shared" ref="G36:G41" si="34">MROUND($G$10*$AA36, 10)</x:f>
      </x:c>
      <x:c r="H36"/>
      <x:c r="I36" s="83">
        <x:f t="shared" si="30"/>
      </x:c>
      <x:c r="J36" s="84"/>
      <x:c r="K36" s="79">
        <x:f t="shared" si="27"/>
      </x:c>
      <x:c r="L36" s="85"/>
      <x:c r="M36" s="83">
        <x:f t="shared" si="33"/>
      </x:c>
      <x:c r="N36" s="84"/>
      <x:c r="O36" s="79">
        <x:f t="shared" si="28"/>
      </x:c>
      <x:c r="P36" s="84"/>
      <x:c r="Q36" s="83"/>
      <x:c r="R36" s="86"/>
      <x:c r="S36" s="83">
        <x:f t="shared" si="32"/>
      </x:c>
      <x:c r="T36" s="84"/>
      <x:c r="U36" s="83">
        <x:f t="shared" si="29"/>
      </x:c>
      <x:c r="V36" s="84"/>
      <x:c r="W36" s="83">
        <x:f t="shared" si="5"/>
      </x:c>
      <x:c r="X36" s="84"/>
      <x:c r="Y36" s="83">
        <x:f t="shared" si="6"/>
      </x:c>
      <x:c r="Z36" s="84"/>
      <x:c r="AA36" s="133" t="n">
        <x:v>0.041</x:v>
      </x:c>
    </x:row>
    <x:row r="37">
      <x:c r="A37" s="92" t="n">
        <x:v>27</x:v>
      </x:c>
      <x:c r="B37" s="112" t="str">
        <x:f t="shared" si="2">IF(SUM(C37,E37,G37,I37,K37,M37,O37,Q37,S37,U37,W37,Y37)=0,"",SUM(C37,E37,G37,I37,K37,M37,O37,Q37,S37,U37,W37,Y37))</x:f>
      </x:c>
      <x:c r="C37" s="83">
        <x:f t="shared" si="31"/>
      </x:c>
      <x:c r="D37" s="117"/>
      <x:c r="E37" s="83"/>
      <x:c r="F37" s="86"/>
      <x:c r="G37" s="83">
        <x:f t="shared" si="34"/>
      </x:c>
      <x:c r="H37"/>
      <x:c r="I37" s="83">
        <x:f t="shared" si="30"/>
      </x:c>
      <x:c r="J37" s="84"/>
      <x:c r="K37" s="79"/>
      <x:c r="L37" s="86"/>
      <x:c r="M37" s="83">
        <x:f t="shared" si="33"/>
      </x:c>
      <x:c r="N37" s="84"/>
      <x:c r="O37" s="79">
        <x:f t="shared" si="28"/>
      </x:c>
      <x:c r="P37" s="85"/>
      <x:c r="Q37" s="83">
        <x:f t="shared" si="4"/>
      </x:c>
      <x:c r="R37" s="84"/>
      <x:c r="S37" s="83">
        <x:f t="shared" si="32"/>
      </x:c>
      <x:c r="T37" s="84"/>
      <x:c r="U37" s="83">
        <x:f t="shared" si="29"/>
      </x:c>
      <x:c r="V37" s="85"/>
      <x:c r="W37" s="83">
        <x:f t="shared" si="5"/>
      </x:c>
      <x:c r="X37" s="84"/>
      <x:c r="Y37" s="83">
        <x:f t="shared" si="6"/>
      </x:c>
      <x:c r="Z37" s="84"/>
      <x:c r="AA37" s="133" t="n">
        <x:v>0.042</x:v>
      </x:c>
    </x:row>
    <x:row r="38">
      <x:c r="A38" s="92" t="n">
        <x:v>28</x:v>
      </x:c>
      <x:c r="B38" s="112" t="str">
        <x:f t="shared" si="2">IF(SUM(C38,E38,G38,I38,K38,M38,O38,Q38,S38,U38,W38,Y38)=0,"",SUM(C38,E38,G38,I38,K38,M38,O38,Q38,S38,U38,W38,Y38))</x:f>
      </x:c>
      <x:c r="C38" s="83">
        <x:f t="shared" si="31"/>
      </x:c>
      <x:c r="D38" s="117"/>
      <x:c r="E38" s="83"/>
      <x:c r="F38" s="84"/>
      <x:c r="G38" s="83">
        <x:f t="shared" si="34"/>
      </x:c>
      <x:c r="H38"/>
      <x:c r="I38" s="83">
        <x:f t="shared" si="30"/>
      </x:c>
      <x:c r="J38" s="85"/>
      <x:c r="K38" s="79"/>
      <x:c r="L38" s="84"/>
      <x:c r="M38" s="83">
        <x:f t="shared" si="33"/>
      </x:c>
      <x:c r="N38" s="84"/>
      <x:c r="O38" s="79"/>
      <x:c r="P38" s="86"/>
      <x:c r="Q38" s="83">
        <x:f t="shared" si="4"/>
      </x:c>
      <x:c r="R38" s="84"/>
      <x:c r="S38" s="83">
        <x:f t="shared" si="32"/>
      </x:c>
      <x:c r="T38" s="84"/>
      <x:c r="U38" s="83"/>
      <x:c r="V38" s="86"/>
      <x:c r="W38" s="83">
        <x:f t="shared" si="5"/>
      </x:c>
      <x:c r="X38" s="84"/>
      <x:c r="Y38" s="83">
        <x:f t="shared" si="6"/>
      </x:c>
      <x:c r="Z38" s="85"/>
      <x:c r="AA38" s="133" t="n">
        <x:v>0.019</x:v>
      </x:c>
    </x:row>
    <x:row r="39">
      <x:c r="A39" s="92" t="n">
        <x:v>29</x:v>
      </x:c>
      <x:c r="B39" s="112" t="str">
        <x:f t="shared" si="2">IF(SUM(C39,E39,G39,I39,K39,M39,O39,Q39,S39,U39,W39,Y39)=0,"",SUM(C39,E39,G39,I39,K39,M39,O39,Q39,S39,U39,W39,Y39))</x:f>
      </x:c>
      <x:c r="C39" s="83">
        <x:f t="shared" si="31"/>
      </x:c>
      <x:c r="D39" s="118"/>
      <x:c r="E39" s="83"/>
      <x:c r="F39" s="84"/>
      <x:c r="G39" s="83">
        <x:f t="shared" si="34"/>
      </x:c>
      <x:c r="H39"/>
      <x:c r="I39" s="83"/>
      <x:c r="J39" s="86"/>
      <x:c r="K39" s="79"/>
      <x:c r="L39" s="84"/>
      <x:c r="M39" s="83">
        <x:f t="shared" si="33"/>
      </x:c>
      <x:c r="N39" s="84"/>
      <x:c r="O39" s="79"/>
      <x:c r="P39" s="84"/>
      <x:c r="Q39" s="83">
        <x:f t="shared" si="4"/>
      </x:c>
      <x:c r="R39" s="84"/>
      <x:c r="S39" s="83">
        <x:f t="shared" si="32"/>
      </x:c>
      <x:c r="T39" s="85"/>
      <x:c r="U39" s="83"/>
      <x:c r="V39" s="84"/>
      <x:c r="W39" s="83">
        <x:f t="shared" si="5"/>
      </x:c>
      <x:c r="X39" s="84"/>
      <x:c r="Y39" s="83"/>
      <x:c r="Z39" s="86"/>
      <x:c r="AA39" s="133" t="n">
        <x:v>0.029</x:v>
      </x:c>
    </x:row>
    <x:row r="40">
      <x:c r="A40" s="92" t="n">
        <x:v>30</x:v>
      </x:c>
      <x:c r="B40" s="112" t="str">
        <x:f t="shared" si="2">IF(SUM(C40,E40,G40,I40,K40,M40,O40,Q40,S40,U40,W40,Y40)=0,"",SUM(C40,E40,G40,I40,K40,M40,O40,Q40,S40,U40,W40,Y40))</x:f>
      </x:c>
      <x:c r="C40" s="83"/>
      <x:c r="D40" s="116"/>
      <x:c r="E40" s="83"/>
      <x:c r="F40" s="84"/>
      <x:c r="G40" s="83">
        <x:f t="shared" si="34"/>
      </x:c>
      <x:c r="H40"/>
      <x:c r="I40" s="83"/>
      <x:c r="J40" s="84"/>
      <x:c r="K40" s="79"/>
      <x:c r="L40" s="84"/>
      <x:c r="M40" s="83">
        <x:f t="shared" si="33"/>
      </x:c>
      <x:c r="N40" s="85"/>
      <x:c r="O40" s="79"/>
      <x:c r="P40" s="84"/>
      <x:c r="Q40" s="83">
        <x:f t="shared" si="4"/>
      </x:c>
      <x:c r="R40" s="84"/>
      <x:c r="S40" s="83"/>
      <x:c r="T40" s="86"/>
      <x:c r="U40" s="83"/>
      <x:c r="V40" s="84"/>
      <x:c r="W40" s="83">
        <x:f t="shared" si="5"/>
      </x:c>
      <x:c r="X40" s="84"/>
      <x:c r="Y40" s="83"/>
      <x:c r="Z40" s="84"/>
      <x:c r="AA40" s="133" t="n">
        <x:v>0.031</x:v>
      </x:c>
    </x:row>
    <x:row r="41">
      <x:c r="A41" s="92" t="n">
        <x:v>31</x:v>
      </x:c>
      <x:c r="B41" s="114" t="str">
        <x:f t="shared" si="2">IF(SUM(C41,E41,G41,I41,K41,M41,O41,Q41,S41,U41,W41,Y41)=0,"",SUM(C41,E41,G41,I41,K41,M41,O41,Q41,S41,U41,W41,Y41))</x:f>
      </x:c>
      <x:c r="C41" s="87"/>
      <x:c r="D41" s="119"/>
      <x:c r="E41" s="87"/>
      <x:c r="F41" s="88"/>
      <x:c r="G41" s="87">
        <x:f t="shared" si="34"/>
      </x:c>
      <x:c r="H41" s="113"/>
      <x:c r="I41" s="87"/>
      <x:c r="J41" s="88"/>
      <x:c r="K41" s="94"/>
      <x:c r="L41" s="88"/>
      <x:c r="M41" s="87"/>
      <x:c r="N41" s="96"/>
      <x:c r="O41" s="94"/>
      <x:c r="P41" s="88"/>
      <x:c r="Q41" s="87">
        <x:f t="shared" si="4"/>
      </x:c>
      <x:c r="R41" s="88"/>
      <x:c r="S41" s="87"/>
      <x:c r="T41" s="88"/>
      <x:c r="U41" s="87"/>
      <x:c r="V41" s="88"/>
      <x:c r="W41" s="87">
        <x:f t="shared" si="5"/>
      </x:c>
      <x:c r="X41" s="90"/>
      <x:c r="Y41" s="87"/>
      <x:c r="Z41" s="88"/>
      <x:c r="AA41" s="133" t="n">
        <x:v>0.04</x:v>
      </x:c>
    </x:row>
    <x:row r="42">
      <x:c r="A42"/>
      <x:c r="B42" s="80" t="str">
        <x:f>IF(SUM(B11:B41)=0,"",SUM(B11:B41))</x:f>
      </x:c>
      <x:c r="C42" s="164" t="str">
        <x:f>IF(SUM(C11:C41)=0,"",SUM(C11:C41))</x:f>
      </x:c>
      <x:c r="D42" s="164"/>
      <x:c r="E42" s="80" t="str">
        <x:f t="shared" ref="E42:Y42" si="35">IF(SUM(E11:E41)=0,"",SUM(E11:E41))</x:f>
      </x:c>
      <x:c r="F42" s="80"/>
      <x:c r="G42" s="80" t="str">
        <x:f t="shared" si="35">IF(SUM(G11:G41)=0,"",SUM(G11:G41))</x:f>
      </x:c>
      <x:c r="H42" s="80"/>
      <x:c r="I42" s="80" t="str">
        <x:f>IF(SUM(I11:I41)=0,"",SUM(I11:I41))</x:f>
      </x:c>
      <x:c r="J42" s="80"/>
      <x:c r="K42" s="80" t="str">
        <x:f>IF(SUM(K11:K41)=0,"",SUM(K11:K41))</x:f>
      </x:c>
      <x:c r="L42" s="80"/>
      <x:c r="M42" s="80" t="str">
        <x:f>IF(SUM(M11:M41)=0,"",SUM(M11:M41))</x:f>
      </x:c>
      <x:c r="N42" s="80"/>
      <x:c r="O42" s="80" t="str">
        <x:f t="shared" si="35">IF(SUM(O11:O41)=0,"",SUM(O11:O41))</x:f>
      </x:c>
      <x:c r="P42" s="80"/>
      <x:c r="Q42" s="80" t="str">
        <x:f t="shared" si="35">IF(SUM(Q11:Q41)=0,"",SUM(Q11:Q41))</x:f>
      </x:c>
      <x:c r="R42" s="80"/>
      <x:c r="S42" s="80" t="str">
        <x:f t="shared" si="35">IF(SUM(S11:S41)=0,"",SUM(S11:S41))</x:f>
      </x:c>
      <x:c r="T42" s="80"/>
      <x:c r="U42" s="80" t="str">
        <x:f t="shared" si="35">IF(SUM(U11:U41)=0,"",SUM(U11:U41))</x:f>
      </x:c>
      <x:c r="V42" s="80"/>
      <x:c r="W42" s="80" t="str">
        <x:f t="shared" si="35">IF(SUM(W11:W41)=0,"",SUM(W11:W41))</x:f>
      </x:c>
      <x:c r="X42" s="80"/>
      <x:c r="Y42" s="80" t="str">
        <x:f t="shared" si="35">IF(SUM(Y11:Y41)=0,"",SUM(Y11:Y41))</x:f>
      </x:c>
      <x:c r="Z42" s="80"/>
      <x:c r="AA42" s="134" t="n">
        <x:v>0.9980000000000004</x:v>
      </x:c>
    </x:row>
    <x:row r="43">
      <x:c r="B43" s="79"/>
      <x:c r="O43" s="79"/>
      <x:c r="P43" s="79"/>
    </x:row>
  </x:sheetData>
  <x:mergeCells>
    <x:mergeCell ref="C42:D42"/>
    <x:mergeCell ref="U10:V10"/>
    <x:mergeCell ref="Q9:R9"/>
    <x:mergeCell ref="Q10:R10"/>
    <x:mergeCell ref="S10:T10"/>
    <x:mergeCell ref="M10:N10"/>
    <x:mergeCell ref="S9:T9"/>
    <x:mergeCell ref="M9:N9"/>
    <x:mergeCell ref="O10:P10"/>
    <x:mergeCell ref="O9:P9"/>
    <x:mergeCell ref="E10:F10"/>
    <x:mergeCell ref="G10:H10"/>
    <x:mergeCell ref="I10:J10"/>
    <x:mergeCell ref="K10:L10"/>
    <x:mergeCell ref="E9:F9"/>
    <x:mergeCell ref="G9:H9"/>
    <x:mergeCell ref="A5:Z5"/>
    <x:mergeCell ref="A6:Z6"/>
    <x:mergeCell ref="U9:V9"/>
    <x:mergeCell ref="W9:X9"/>
    <x:mergeCell ref="Y9:Z9"/>
    <x:mergeCell ref="C8:P8"/>
    <x:mergeCell ref="A8:A10"/>
    <x:mergeCell ref="Q8:Z8"/>
    <x:mergeCell ref="C9:D9"/>
    <x:mergeCell ref="C10:D10"/>
    <x:mergeCell ref="W10:X10"/>
    <x:mergeCell ref="Y10:Z10"/>
    <x:mergeCell ref="B8:B10"/>
    <x:mergeCell ref="I9:J9"/>
    <x:mergeCell ref="K9:L9"/>
  </x:mergeCells>
  <x:pageMargins left="0.7" right="0.7" top="0.75" bottom="0.75" header="0.3" footer="0.3"/>
</x:worksheet>
</file>